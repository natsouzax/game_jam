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0d05367efaa2a1e/Documentos/Acadêmico/Papers/LDMT/"/>
    </mc:Choice>
  </mc:AlternateContent>
  <xr:revisionPtr revIDLastSave="0" documentId="114_{0B87151E-4C4C-45B9-8347-BB2BE31DF3FF}" xr6:coauthVersionLast="47" xr6:coauthVersionMax="47" xr10:uidLastSave="{00000000-0000-0000-0000-000000000000}"/>
  <bookViews>
    <workbookView xWindow="-110" yWindow="-110" windowWidth="22180" windowHeight="14140" xr2:uid="{00000000-000D-0000-FFFF-FFFF00000000}"/>
  </bookViews>
  <sheets>
    <sheet name="Overview" sheetId="1" r:id="rId1"/>
    <sheet name="Segments" sheetId="2" r:id="rId2"/>
    <sheet name="Elements" sheetId="3" r:id="rId3"/>
    <sheet name="Level Map" sheetId="4" r:id="rId4"/>
  </sheets>
  <definedNames>
    <definedName name="PlotScores">OFFSET(Overview!$D$12,0,0,MAX(1,MAX(Overview!$B$12:$B$41)),1)</definedName>
    <definedName name="PlotSegments">OFFSET(Overview!$B$12,0,0,MAX(1,MAX(Overview!$B$12:$B$41)),1)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8" i="4" l="1"/>
  <c r="I308" i="4"/>
  <c r="H308" i="4"/>
  <c r="G308" i="4"/>
  <c r="J307" i="4"/>
  <c r="I307" i="4"/>
  <c r="H307" i="4"/>
  <c r="G307" i="4"/>
  <c r="J306" i="4"/>
  <c r="I306" i="4"/>
  <c r="H306" i="4"/>
  <c r="G306" i="4"/>
  <c r="J305" i="4"/>
  <c r="I305" i="4"/>
  <c r="H305" i="4"/>
  <c r="G305" i="4"/>
  <c r="J304" i="4"/>
  <c r="I304" i="4"/>
  <c r="H304" i="4"/>
  <c r="G304" i="4"/>
  <c r="J303" i="4"/>
  <c r="I303" i="4"/>
  <c r="H303" i="4"/>
  <c r="G303" i="4"/>
  <c r="J302" i="4"/>
  <c r="I302" i="4"/>
  <c r="H302" i="4"/>
  <c r="G302" i="4"/>
  <c r="J301" i="4"/>
  <c r="I301" i="4"/>
  <c r="H301" i="4"/>
  <c r="G301" i="4"/>
  <c r="J300" i="4"/>
  <c r="I300" i="4"/>
  <c r="H300" i="4"/>
  <c r="G300" i="4"/>
  <c r="J299" i="4"/>
  <c r="I299" i="4"/>
  <c r="H299" i="4"/>
  <c r="G299" i="4"/>
  <c r="J298" i="4"/>
  <c r="I298" i="4"/>
  <c r="H298" i="4"/>
  <c r="G298" i="4"/>
  <c r="J297" i="4"/>
  <c r="I297" i="4"/>
  <c r="H297" i="4"/>
  <c r="G297" i="4"/>
  <c r="J296" i="4"/>
  <c r="I296" i="4"/>
  <c r="H296" i="4"/>
  <c r="G296" i="4"/>
  <c r="J295" i="4"/>
  <c r="I295" i="4"/>
  <c r="H295" i="4"/>
  <c r="G295" i="4"/>
  <c r="J294" i="4"/>
  <c r="I294" i="4"/>
  <c r="H294" i="4"/>
  <c r="G294" i="4"/>
  <c r="J293" i="4"/>
  <c r="I293" i="4"/>
  <c r="H293" i="4"/>
  <c r="G293" i="4"/>
  <c r="J292" i="4"/>
  <c r="I292" i="4"/>
  <c r="H292" i="4"/>
  <c r="G292" i="4"/>
  <c r="J291" i="4"/>
  <c r="I291" i="4"/>
  <c r="H291" i="4"/>
  <c r="G291" i="4"/>
  <c r="J290" i="4"/>
  <c r="I290" i="4"/>
  <c r="H290" i="4"/>
  <c r="G290" i="4"/>
  <c r="J289" i="4"/>
  <c r="I289" i="4"/>
  <c r="H289" i="4"/>
  <c r="G289" i="4"/>
  <c r="J288" i="4"/>
  <c r="I288" i="4"/>
  <c r="H288" i="4"/>
  <c r="G288" i="4"/>
  <c r="J287" i="4"/>
  <c r="I287" i="4"/>
  <c r="H287" i="4"/>
  <c r="G287" i="4"/>
  <c r="J286" i="4"/>
  <c r="I286" i="4"/>
  <c r="H286" i="4"/>
  <c r="G286" i="4"/>
  <c r="J285" i="4"/>
  <c r="I285" i="4"/>
  <c r="H285" i="4"/>
  <c r="G285" i="4"/>
  <c r="J284" i="4"/>
  <c r="I284" i="4"/>
  <c r="H284" i="4"/>
  <c r="G284" i="4"/>
  <c r="J283" i="4"/>
  <c r="I283" i="4"/>
  <c r="H283" i="4"/>
  <c r="G283" i="4"/>
  <c r="J282" i="4"/>
  <c r="I282" i="4"/>
  <c r="H282" i="4"/>
  <c r="G282" i="4"/>
  <c r="J281" i="4"/>
  <c r="I281" i="4"/>
  <c r="H281" i="4"/>
  <c r="G281" i="4"/>
  <c r="J280" i="4"/>
  <c r="I280" i="4"/>
  <c r="H280" i="4"/>
  <c r="G280" i="4"/>
  <c r="J279" i="4"/>
  <c r="I279" i="4"/>
  <c r="H279" i="4"/>
  <c r="G279" i="4"/>
  <c r="J278" i="4"/>
  <c r="I278" i="4"/>
  <c r="H278" i="4"/>
  <c r="G278" i="4"/>
  <c r="J277" i="4"/>
  <c r="I277" i="4"/>
  <c r="H277" i="4"/>
  <c r="G277" i="4"/>
  <c r="J276" i="4"/>
  <c r="I276" i="4"/>
  <c r="H276" i="4"/>
  <c r="G276" i="4"/>
  <c r="J275" i="4"/>
  <c r="I275" i="4"/>
  <c r="H275" i="4"/>
  <c r="G275" i="4"/>
  <c r="J274" i="4"/>
  <c r="I274" i="4"/>
  <c r="H274" i="4"/>
  <c r="G274" i="4"/>
  <c r="J273" i="4"/>
  <c r="I273" i="4"/>
  <c r="H273" i="4"/>
  <c r="G273" i="4"/>
  <c r="J272" i="4"/>
  <c r="I272" i="4"/>
  <c r="H272" i="4"/>
  <c r="G272" i="4"/>
  <c r="J271" i="4"/>
  <c r="I271" i="4"/>
  <c r="H271" i="4"/>
  <c r="G271" i="4"/>
  <c r="J270" i="4"/>
  <c r="I270" i="4"/>
  <c r="H270" i="4"/>
  <c r="G270" i="4"/>
  <c r="J269" i="4"/>
  <c r="I269" i="4"/>
  <c r="H269" i="4"/>
  <c r="G269" i="4"/>
  <c r="J268" i="4"/>
  <c r="I268" i="4"/>
  <c r="H268" i="4"/>
  <c r="G268" i="4"/>
  <c r="J267" i="4"/>
  <c r="I267" i="4"/>
  <c r="H267" i="4"/>
  <c r="G267" i="4"/>
  <c r="J266" i="4"/>
  <c r="I266" i="4"/>
  <c r="H266" i="4"/>
  <c r="G266" i="4"/>
  <c r="J265" i="4"/>
  <c r="I265" i="4"/>
  <c r="H265" i="4"/>
  <c r="G265" i="4"/>
  <c r="J264" i="4"/>
  <c r="I264" i="4"/>
  <c r="H264" i="4"/>
  <c r="G264" i="4"/>
  <c r="J263" i="4"/>
  <c r="I263" i="4"/>
  <c r="H263" i="4"/>
  <c r="G263" i="4"/>
  <c r="J262" i="4"/>
  <c r="I262" i="4"/>
  <c r="H262" i="4"/>
  <c r="G262" i="4"/>
  <c r="J261" i="4"/>
  <c r="I261" i="4"/>
  <c r="H261" i="4"/>
  <c r="G261" i="4"/>
  <c r="J260" i="4"/>
  <c r="I260" i="4"/>
  <c r="H260" i="4"/>
  <c r="G260" i="4"/>
  <c r="J259" i="4"/>
  <c r="I259" i="4"/>
  <c r="H259" i="4"/>
  <c r="G259" i="4"/>
  <c r="J258" i="4"/>
  <c r="I258" i="4"/>
  <c r="H258" i="4"/>
  <c r="G258" i="4"/>
  <c r="J257" i="4"/>
  <c r="I257" i="4"/>
  <c r="H257" i="4"/>
  <c r="G257" i="4"/>
  <c r="J256" i="4"/>
  <c r="I256" i="4"/>
  <c r="H256" i="4"/>
  <c r="G256" i="4"/>
  <c r="J255" i="4"/>
  <c r="I255" i="4"/>
  <c r="H255" i="4"/>
  <c r="G255" i="4"/>
  <c r="J254" i="4"/>
  <c r="I254" i="4"/>
  <c r="H254" i="4"/>
  <c r="G254" i="4"/>
  <c r="J253" i="4"/>
  <c r="I253" i="4"/>
  <c r="H253" i="4"/>
  <c r="G253" i="4"/>
  <c r="J252" i="4"/>
  <c r="I252" i="4"/>
  <c r="H252" i="4"/>
  <c r="G252" i="4"/>
  <c r="J251" i="4"/>
  <c r="I251" i="4"/>
  <c r="H251" i="4"/>
  <c r="G251" i="4"/>
  <c r="J250" i="4"/>
  <c r="I250" i="4"/>
  <c r="H250" i="4"/>
  <c r="G250" i="4"/>
  <c r="J249" i="4"/>
  <c r="I249" i="4"/>
  <c r="H249" i="4"/>
  <c r="G249" i="4"/>
  <c r="J248" i="4"/>
  <c r="I248" i="4"/>
  <c r="H248" i="4"/>
  <c r="G248" i="4"/>
  <c r="J247" i="4"/>
  <c r="I247" i="4"/>
  <c r="H247" i="4"/>
  <c r="G247" i="4"/>
  <c r="J246" i="4"/>
  <c r="I246" i="4"/>
  <c r="H246" i="4"/>
  <c r="G246" i="4"/>
  <c r="J245" i="4"/>
  <c r="I245" i="4"/>
  <c r="H245" i="4"/>
  <c r="G245" i="4"/>
  <c r="J244" i="4"/>
  <c r="I244" i="4"/>
  <c r="H244" i="4"/>
  <c r="G244" i="4"/>
  <c r="J243" i="4"/>
  <c r="I243" i="4"/>
  <c r="H243" i="4"/>
  <c r="G243" i="4"/>
  <c r="J242" i="4"/>
  <c r="I242" i="4"/>
  <c r="H242" i="4"/>
  <c r="G242" i="4"/>
  <c r="J241" i="4"/>
  <c r="I241" i="4"/>
  <c r="H241" i="4"/>
  <c r="G241" i="4"/>
  <c r="J240" i="4"/>
  <c r="I240" i="4"/>
  <c r="H240" i="4"/>
  <c r="G240" i="4"/>
  <c r="J239" i="4"/>
  <c r="I239" i="4"/>
  <c r="H239" i="4"/>
  <c r="G239" i="4"/>
  <c r="J238" i="4"/>
  <c r="I238" i="4"/>
  <c r="H238" i="4"/>
  <c r="G238" i="4"/>
  <c r="J237" i="4"/>
  <c r="I237" i="4"/>
  <c r="H237" i="4"/>
  <c r="G237" i="4"/>
  <c r="J236" i="4"/>
  <c r="I236" i="4"/>
  <c r="H236" i="4"/>
  <c r="G236" i="4"/>
  <c r="J235" i="4"/>
  <c r="I235" i="4"/>
  <c r="H235" i="4"/>
  <c r="G235" i="4"/>
  <c r="J234" i="4"/>
  <c r="I234" i="4"/>
  <c r="H234" i="4"/>
  <c r="G234" i="4"/>
  <c r="J233" i="4"/>
  <c r="I233" i="4"/>
  <c r="H233" i="4"/>
  <c r="G233" i="4"/>
  <c r="J232" i="4"/>
  <c r="I232" i="4"/>
  <c r="H232" i="4"/>
  <c r="G232" i="4"/>
  <c r="J231" i="4"/>
  <c r="I231" i="4"/>
  <c r="H231" i="4"/>
  <c r="G231" i="4"/>
  <c r="J230" i="4"/>
  <c r="I230" i="4"/>
  <c r="H230" i="4"/>
  <c r="G230" i="4"/>
  <c r="J229" i="4"/>
  <c r="I229" i="4"/>
  <c r="H229" i="4"/>
  <c r="G229" i="4"/>
  <c r="J228" i="4"/>
  <c r="I228" i="4"/>
  <c r="H228" i="4"/>
  <c r="G228" i="4"/>
  <c r="J227" i="4"/>
  <c r="I227" i="4"/>
  <c r="H227" i="4"/>
  <c r="G227" i="4"/>
  <c r="J226" i="4"/>
  <c r="I226" i="4"/>
  <c r="H226" i="4"/>
  <c r="G226" i="4"/>
  <c r="J225" i="4"/>
  <c r="I225" i="4"/>
  <c r="H225" i="4"/>
  <c r="G225" i="4"/>
  <c r="J224" i="4"/>
  <c r="I224" i="4"/>
  <c r="H224" i="4"/>
  <c r="G224" i="4"/>
  <c r="J223" i="4"/>
  <c r="I223" i="4"/>
  <c r="H223" i="4"/>
  <c r="G223" i="4"/>
  <c r="J222" i="4"/>
  <c r="I222" i="4"/>
  <c r="H222" i="4"/>
  <c r="G222" i="4"/>
  <c r="J221" i="4"/>
  <c r="I221" i="4"/>
  <c r="H221" i="4"/>
  <c r="G221" i="4"/>
  <c r="J220" i="4"/>
  <c r="I220" i="4"/>
  <c r="H220" i="4"/>
  <c r="G220" i="4"/>
  <c r="J219" i="4"/>
  <c r="I219" i="4"/>
  <c r="H219" i="4"/>
  <c r="G219" i="4"/>
  <c r="J218" i="4"/>
  <c r="I218" i="4"/>
  <c r="H218" i="4"/>
  <c r="G218" i="4"/>
  <c r="J217" i="4"/>
  <c r="I217" i="4"/>
  <c r="H217" i="4"/>
  <c r="G217" i="4"/>
  <c r="J216" i="4"/>
  <c r="I216" i="4"/>
  <c r="H216" i="4"/>
  <c r="G216" i="4"/>
  <c r="J215" i="4"/>
  <c r="I215" i="4"/>
  <c r="H215" i="4"/>
  <c r="G215" i="4"/>
  <c r="J214" i="4"/>
  <c r="I214" i="4"/>
  <c r="H214" i="4"/>
  <c r="G214" i="4"/>
  <c r="J213" i="4"/>
  <c r="I213" i="4"/>
  <c r="H213" i="4"/>
  <c r="G213" i="4"/>
  <c r="J212" i="4"/>
  <c r="I212" i="4"/>
  <c r="H212" i="4"/>
  <c r="G212" i="4"/>
  <c r="J211" i="4"/>
  <c r="I211" i="4"/>
  <c r="H211" i="4"/>
  <c r="G211" i="4"/>
  <c r="J210" i="4"/>
  <c r="I210" i="4"/>
  <c r="H210" i="4"/>
  <c r="G210" i="4"/>
  <c r="J209" i="4"/>
  <c r="I209" i="4"/>
  <c r="H209" i="4"/>
  <c r="G209" i="4"/>
  <c r="J208" i="4"/>
  <c r="I208" i="4"/>
  <c r="H208" i="4"/>
  <c r="G208" i="4"/>
  <c r="J207" i="4"/>
  <c r="I207" i="4"/>
  <c r="H207" i="4"/>
  <c r="G207" i="4"/>
  <c r="J206" i="4"/>
  <c r="I206" i="4"/>
  <c r="H206" i="4"/>
  <c r="G206" i="4"/>
  <c r="J205" i="4"/>
  <c r="I205" i="4"/>
  <c r="H205" i="4"/>
  <c r="G205" i="4"/>
  <c r="J204" i="4"/>
  <c r="I204" i="4"/>
  <c r="H204" i="4"/>
  <c r="G204" i="4"/>
  <c r="J203" i="4"/>
  <c r="I203" i="4"/>
  <c r="H203" i="4"/>
  <c r="G203" i="4"/>
  <c r="J202" i="4"/>
  <c r="I202" i="4"/>
  <c r="H202" i="4"/>
  <c r="G202" i="4"/>
  <c r="J201" i="4"/>
  <c r="I201" i="4"/>
  <c r="H201" i="4"/>
  <c r="G201" i="4"/>
  <c r="J200" i="4"/>
  <c r="I200" i="4"/>
  <c r="H200" i="4"/>
  <c r="G200" i="4"/>
  <c r="J199" i="4"/>
  <c r="I199" i="4"/>
  <c r="H199" i="4"/>
  <c r="G199" i="4"/>
  <c r="J198" i="4"/>
  <c r="I198" i="4"/>
  <c r="H198" i="4"/>
  <c r="G198" i="4"/>
  <c r="J197" i="4"/>
  <c r="I197" i="4"/>
  <c r="H197" i="4"/>
  <c r="G197" i="4"/>
  <c r="J196" i="4"/>
  <c r="I196" i="4"/>
  <c r="H196" i="4"/>
  <c r="G196" i="4"/>
  <c r="J195" i="4"/>
  <c r="I195" i="4"/>
  <c r="H195" i="4"/>
  <c r="G195" i="4"/>
  <c r="J194" i="4"/>
  <c r="I194" i="4"/>
  <c r="H194" i="4"/>
  <c r="G194" i="4"/>
  <c r="J193" i="4"/>
  <c r="I193" i="4"/>
  <c r="H193" i="4"/>
  <c r="G193" i="4"/>
  <c r="J192" i="4"/>
  <c r="I192" i="4"/>
  <c r="H192" i="4"/>
  <c r="G192" i="4"/>
  <c r="J191" i="4"/>
  <c r="I191" i="4"/>
  <c r="H191" i="4"/>
  <c r="G191" i="4"/>
  <c r="J190" i="4"/>
  <c r="I190" i="4"/>
  <c r="H190" i="4"/>
  <c r="G190" i="4"/>
  <c r="J189" i="4"/>
  <c r="I189" i="4"/>
  <c r="H189" i="4"/>
  <c r="G189" i="4"/>
  <c r="J188" i="4"/>
  <c r="I188" i="4"/>
  <c r="H188" i="4"/>
  <c r="G188" i="4"/>
  <c r="J187" i="4"/>
  <c r="I187" i="4"/>
  <c r="H187" i="4"/>
  <c r="G187" i="4"/>
  <c r="J186" i="4"/>
  <c r="I186" i="4"/>
  <c r="H186" i="4"/>
  <c r="G186" i="4"/>
  <c r="J185" i="4"/>
  <c r="I185" i="4"/>
  <c r="H185" i="4"/>
  <c r="G185" i="4"/>
  <c r="J184" i="4"/>
  <c r="I184" i="4"/>
  <c r="H184" i="4"/>
  <c r="G184" i="4"/>
  <c r="J183" i="4"/>
  <c r="I183" i="4"/>
  <c r="H183" i="4"/>
  <c r="G183" i="4"/>
  <c r="J182" i="4"/>
  <c r="I182" i="4"/>
  <c r="H182" i="4"/>
  <c r="G182" i="4"/>
  <c r="J181" i="4"/>
  <c r="I181" i="4"/>
  <c r="H181" i="4"/>
  <c r="G181" i="4"/>
  <c r="J180" i="4"/>
  <c r="I180" i="4"/>
  <c r="H180" i="4"/>
  <c r="G180" i="4"/>
  <c r="J179" i="4"/>
  <c r="I179" i="4"/>
  <c r="H179" i="4"/>
  <c r="G179" i="4"/>
  <c r="J178" i="4"/>
  <c r="I178" i="4"/>
  <c r="H178" i="4"/>
  <c r="G178" i="4"/>
  <c r="J177" i="4"/>
  <c r="I177" i="4"/>
  <c r="H177" i="4"/>
  <c r="G177" i="4"/>
  <c r="J176" i="4"/>
  <c r="I176" i="4"/>
  <c r="H176" i="4"/>
  <c r="G176" i="4"/>
  <c r="J175" i="4"/>
  <c r="I175" i="4"/>
  <c r="H175" i="4"/>
  <c r="G175" i="4"/>
  <c r="J174" i="4"/>
  <c r="I174" i="4"/>
  <c r="H174" i="4"/>
  <c r="G174" i="4"/>
  <c r="J173" i="4"/>
  <c r="I173" i="4"/>
  <c r="H173" i="4"/>
  <c r="G173" i="4"/>
  <c r="J172" i="4"/>
  <c r="I172" i="4"/>
  <c r="H172" i="4"/>
  <c r="G172" i="4"/>
  <c r="J171" i="4"/>
  <c r="I171" i="4"/>
  <c r="H171" i="4"/>
  <c r="G171" i="4"/>
  <c r="J170" i="4"/>
  <c r="I170" i="4"/>
  <c r="H170" i="4"/>
  <c r="G170" i="4"/>
  <c r="J169" i="4"/>
  <c r="I169" i="4"/>
  <c r="H169" i="4"/>
  <c r="G169" i="4"/>
  <c r="J168" i="4"/>
  <c r="I168" i="4"/>
  <c r="H168" i="4"/>
  <c r="G168" i="4"/>
  <c r="J167" i="4"/>
  <c r="I167" i="4"/>
  <c r="H167" i="4"/>
  <c r="G167" i="4"/>
  <c r="J166" i="4"/>
  <c r="I166" i="4"/>
  <c r="H166" i="4"/>
  <c r="G166" i="4"/>
  <c r="J165" i="4"/>
  <c r="I165" i="4"/>
  <c r="H165" i="4"/>
  <c r="G165" i="4"/>
  <c r="J164" i="4"/>
  <c r="I164" i="4"/>
  <c r="H164" i="4"/>
  <c r="G164" i="4"/>
  <c r="J163" i="4"/>
  <c r="I163" i="4"/>
  <c r="H163" i="4"/>
  <c r="G163" i="4"/>
  <c r="J162" i="4"/>
  <c r="I162" i="4"/>
  <c r="H162" i="4"/>
  <c r="G162" i="4"/>
  <c r="J161" i="4"/>
  <c r="I161" i="4"/>
  <c r="H161" i="4"/>
  <c r="G161" i="4"/>
  <c r="J160" i="4"/>
  <c r="I160" i="4"/>
  <c r="H160" i="4"/>
  <c r="G160" i="4"/>
  <c r="J159" i="4"/>
  <c r="I159" i="4"/>
  <c r="H159" i="4"/>
  <c r="G159" i="4"/>
  <c r="J158" i="4"/>
  <c r="I158" i="4"/>
  <c r="H158" i="4"/>
  <c r="G158" i="4"/>
  <c r="J157" i="4"/>
  <c r="I157" i="4"/>
  <c r="H157" i="4"/>
  <c r="G157" i="4"/>
  <c r="J156" i="4"/>
  <c r="I156" i="4"/>
  <c r="H156" i="4"/>
  <c r="G156" i="4"/>
  <c r="J155" i="4"/>
  <c r="I155" i="4"/>
  <c r="H155" i="4"/>
  <c r="G155" i="4"/>
  <c r="J154" i="4"/>
  <c r="I154" i="4"/>
  <c r="H154" i="4"/>
  <c r="G154" i="4"/>
  <c r="J153" i="4"/>
  <c r="I153" i="4"/>
  <c r="H153" i="4"/>
  <c r="G153" i="4"/>
  <c r="J152" i="4"/>
  <c r="I152" i="4"/>
  <c r="H152" i="4"/>
  <c r="G152" i="4"/>
  <c r="J151" i="4"/>
  <c r="I151" i="4"/>
  <c r="H151" i="4"/>
  <c r="G151" i="4"/>
  <c r="J150" i="4"/>
  <c r="I150" i="4"/>
  <c r="H150" i="4"/>
  <c r="G150" i="4"/>
  <c r="J149" i="4"/>
  <c r="I149" i="4"/>
  <c r="H149" i="4"/>
  <c r="G149" i="4"/>
  <c r="J148" i="4"/>
  <c r="I148" i="4"/>
  <c r="H148" i="4"/>
  <c r="G148" i="4"/>
  <c r="J147" i="4"/>
  <c r="I147" i="4"/>
  <c r="H147" i="4"/>
  <c r="G147" i="4"/>
  <c r="J146" i="4"/>
  <c r="I146" i="4"/>
  <c r="H146" i="4"/>
  <c r="G146" i="4"/>
  <c r="J145" i="4"/>
  <c r="I145" i="4"/>
  <c r="H145" i="4"/>
  <c r="G145" i="4"/>
  <c r="J144" i="4"/>
  <c r="I144" i="4"/>
  <c r="H144" i="4"/>
  <c r="G144" i="4"/>
  <c r="J143" i="4"/>
  <c r="I143" i="4"/>
  <c r="H143" i="4"/>
  <c r="G143" i="4"/>
  <c r="J142" i="4"/>
  <c r="I142" i="4"/>
  <c r="H142" i="4"/>
  <c r="G142" i="4"/>
  <c r="J141" i="4"/>
  <c r="I141" i="4"/>
  <c r="H141" i="4"/>
  <c r="G141" i="4"/>
  <c r="J140" i="4"/>
  <c r="I140" i="4"/>
  <c r="H140" i="4"/>
  <c r="G140" i="4"/>
  <c r="J139" i="4"/>
  <c r="I139" i="4"/>
  <c r="H139" i="4"/>
  <c r="G139" i="4"/>
  <c r="J138" i="4"/>
  <c r="I138" i="4"/>
  <c r="H138" i="4"/>
  <c r="G138" i="4"/>
  <c r="J137" i="4"/>
  <c r="I137" i="4"/>
  <c r="H137" i="4"/>
  <c r="G137" i="4"/>
  <c r="J136" i="4"/>
  <c r="I136" i="4"/>
  <c r="H136" i="4"/>
  <c r="G136" i="4"/>
  <c r="J135" i="4"/>
  <c r="I135" i="4"/>
  <c r="H135" i="4"/>
  <c r="G135" i="4"/>
  <c r="J134" i="4"/>
  <c r="I134" i="4"/>
  <c r="H134" i="4"/>
  <c r="G134" i="4"/>
  <c r="J133" i="4"/>
  <c r="I133" i="4"/>
  <c r="H133" i="4"/>
  <c r="G133" i="4"/>
  <c r="J132" i="4"/>
  <c r="I132" i="4"/>
  <c r="H132" i="4"/>
  <c r="G132" i="4"/>
  <c r="J131" i="4"/>
  <c r="I131" i="4"/>
  <c r="H131" i="4"/>
  <c r="G131" i="4"/>
  <c r="J130" i="4"/>
  <c r="I130" i="4"/>
  <c r="H130" i="4"/>
  <c r="G130" i="4"/>
  <c r="J129" i="4"/>
  <c r="I129" i="4"/>
  <c r="H129" i="4"/>
  <c r="G129" i="4"/>
  <c r="J128" i="4"/>
  <c r="I128" i="4"/>
  <c r="H128" i="4"/>
  <c r="G128" i="4"/>
  <c r="J127" i="4"/>
  <c r="I127" i="4"/>
  <c r="H127" i="4"/>
  <c r="G127" i="4"/>
  <c r="J126" i="4"/>
  <c r="I126" i="4"/>
  <c r="H126" i="4"/>
  <c r="G126" i="4"/>
  <c r="J125" i="4"/>
  <c r="I125" i="4"/>
  <c r="H125" i="4"/>
  <c r="G125" i="4"/>
  <c r="J124" i="4"/>
  <c r="I124" i="4"/>
  <c r="H124" i="4"/>
  <c r="G124" i="4"/>
  <c r="J123" i="4"/>
  <c r="I123" i="4"/>
  <c r="H123" i="4"/>
  <c r="G123" i="4"/>
  <c r="J122" i="4"/>
  <c r="I122" i="4"/>
  <c r="H122" i="4"/>
  <c r="G122" i="4"/>
  <c r="J121" i="4"/>
  <c r="I121" i="4"/>
  <c r="H121" i="4"/>
  <c r="G121" i="4"/>
  <c r="J120" i="4"/>
  <c r="I120" i="4"/>
  <c r="H120" i="4"/>
  <c r="G120" i="4"/>
  <c r="J119" i="4"/>
  <c r="I119" i="4"/>
  <c r="H119" i="4"/>
  <c r="G119" i="4"/>
  <c r="J118" i="4"/>
  <c r="I118" i="4"/>
  <c r="H118" i="4"/>
  <c r="G118" i="4"/>
  <c r="J117" i="4"/>
  <c r="I117" i="4"/>
  <c r="H117" i="4"/>
  <c r="G117" i="4"/>
  <c r="J116" i="4"/>
  <c r="I116" i="4"/>
  <c r="H116" i="4"/>
  <c r="G116" i="4"/>
  <c r="J115" i="4"/>
  <c r="I115" i="4"/>
  <c r="H115" i="4"/>
  <c r="G115" i="4"/>
  <c r="J114" i="4"/>
  <c r="I114" i="4"/>
  <c r="H114" i="4"/>
  <c r="G114" i="4"/>
  <c r="J113" i="4"/>
  <c r="I113" i="4"/>
  <c r="H113" i="4"/>
  <c r="G113" i="4"/>
  <c r="J112" i="4"/>
  <c r="I112" i="4"/>
  <c r="H112" i="4"/>
  <c r="G112" i="4"/>
  <c r="J111" i="4"/>
  <c r="I111" i="4"/>
  <c r="H111" i="4"/>
  <c r="G111" i="4"/>
  <c r="J110" i="4"/>
  <c r="I110" i="4"/>
  <c r="H110" i="4"/>
  <c r="G110" i="4"/>
  <c r="J109" i="4"/>
  <c r="I109" i="4"/>
  <c r="H109" i="4"/>
  <c r="G109" i="4"/>
  <c r="J108" i="4"/>
  <c r="I108" i="4"/>
  <c r="H108" i="4"/>
  <c r="G108" i="4"/>
  <c r="J107" i="4"/>
  <c r="I107" i="4"/>
  <c r="H107" i="4"/>
  <c r="G107" i="4"/>
  <c r="J106" i="4"/>
  <c r="I106" i="4"/>
  <c r="H106" i="4"/>
  <c r="G106" i="4"/>
  <c r="J105" i="4"/>
  <c r="I105" i="4"/>
  <c r="H105" i="4"/>
  <c r="G105" i="4"/>
  <c r="J104" i="4"/>
  <c r="I104" i="4"/>
  <c r="H104" i="4"/>
  <c r="G104" i="4"/>
  <c r="J103" i="4"/>
  <c r="I103" i="4"/>
  <c r="H103" i="4"/>
  <c r="G103" i="4"/>
  <c r="J102" i="4"/>
  <c r="I102" i="4"/>
  <c r="H102" i="4"/>
  <c r="G102" i="4"/>
  <c r="J101" i="4"/>
  <c r="I101" i="4"/>
  <c r="H101" i="4"/>
  <c r="G101" i="4"/>
  <c r="J100" i="4"/>
  <c r="I100" i="4"/>
  <c r="H100" i="4"/>
  <c r="G100" i="4"/>
  <c r="J99" i="4"/>
  <c r="I99" i="4"/>
  <c r="H99" i="4"/>
  <c r="G99" i="4"/>
  <c r="J98" i="4"/>
  <c r="I98" i="4"/>
  <c r="H98" i="4"/>
  <c r="G98" i="4"/>
  <c r="J97" i="4"/>
  <c r="I97" i="4"/>
  <c r="H97" i="4"/>
  <c r="G97" i="4"/>
  <c r="J96" i="4"/>
  <c r="I96" i="4"/>
  <c r="H96" i="4"/>
  <c r="G96" i="4"/>
  <c r="J95" i="4"/>
  <c r="I95" i="4"/>
  <c r="H95" i="4"/>
  <c r="G95" i="4"/>
  <c r="J94" i="4"/>
  <c r="I94" i="4"/>
  <c r="H94" i="4"/>
  <c r="G94" i="4"/>
  <c r="J93" i="4"/>
  <c r="I93" i="4"/>
  <c r="H93" i="4"/>
  <c r="G93" i="4"/>
  <c r="J92" i="4"/>
  <c r="I92" i="4"/>
  <c r="H92" i="4"/>
  <c r="G92" i="4"/>
  <c r="J91" i="4"/>
  <c r="I91" i="4"/>
  <c r="H91" i="4"/>
  <c r="G91" i="4"/>
  <c r="J90" i="4"/>
  <c r="I90" i="4"/>
  <c r="H90" i="4"/>
  <c r="G90" i="4"/>
  <c r="J89" i="4"/>
  <c r="I89" i="4"/>
  <c r="H89" i="4"/>
  <c r="G89" i="4"/>
  <c r="J88" i="4"/>
  <c r="I88" i="4"/>
  <c r="H88" i="4"/>
  <c r="G88" i="4"/>
  <c r="J87" i="4"/>
  <c r="I87" i="4"/>
  <c r="H87" i="4"/>
  <c r="G87" i="4"/>
  <c r="J86" i="4"/>
  <c r="I86" i="4"/>
  <c r="H86" i="4"/>
  <c r="G86" i="4"/>
  <c r="J85" i="4"/>
  <c r="I85" i="4"/>
  <c r="H85" i="4"/>
  <c r="G85" i="4"/>
  <c r="J84" i="4"/>
  <c r="I84" i="4"/>
  <c r="H84" i="4"/>
  <c r="G84" i="4"/>
  <c r="J83" i="4"/>
  <c r="I83" i="4"/>
  <c r="H83" i="4"/>
  <c r="G83" i="4"/>
  <c r="J82" i="4"/>
  <c r="I82" i="4"/>
  <c r="H82" i="4"/>
  <c r="G82" i="4"/>
  <c r="J81" i="4"/>
  <c r="I81" i="4"/>
  <c r="H81" i="4"/>
  <c r="G81" i="4"/>
  <c r="J80" i="4"/>
  <c r="I80" i="4"/>
  <c r="H80" i="4"/>
  <c r="G80" i="4"/>
  <c r="J79" i="4"/>
  <c r="I79" i="4"/>
  <c r="H79" i="4"/>
  <c r="G79" i="4"/>
  <c r="J78" i="4"/>
  <c r="I78" i="4"/>
  <c r="H78" i="4"/>
  <c r="G78" i="4"/>
  <c r="J77" i="4"/>
  <c r="I77" i="4" s="1"/>
  <c r="H77" i="4"/>
  <c r="G77" i="4"/>
  <c r="J76" i="4"/>
  <c r="I76" i="4"/>
  <c r="H76" i="4"/>
  <c r="G76" i="4"/>
  <c r="J75" i="4"/>
  <c r="I75" i="4" s="1"/>
  <c r="H75" i="4"/>
  <c r="G75" i="4"/>
  <c r="J74" i="4"/>
  <c r="I74" i="4" s="1"/>
  <c r="H74" i="4"/>
  <c r="G74" i="4"/>
  <c r="J73" i="4"/>
  <c r="I73" i="4" s="1"/>
  <c r="H73" i="4"/>
  <c r="G73" i="4"/>
  <c r="J72" i="4"/>
  <c r="I72" i="4" s="1"/>
  <c r="H72" i="4"/>
  <c r="G72" i="4"/>
  <c r="J71" i="4"/>
  <c r="I71" i="4" s="1"/>
  <c r="H71" i="4"/>
  <c r="G71" i="4"/>
  <c r="J70" i="4"/>
  <c r="I70" i="4" s="1"/>
  <c r="H70" i="4"/>
  <c r="G70" i="4"/>
  <c r="J69" i="4"/>
  <c r="I69" i="4"/>
  <c r="H69" i="4"/>
  <c r="G69" i="4"/>
  <c r="J68" i="4"/>
  <c r="I68" i="4"/>
  <c r="H68" i="4"/>
  <c r="G68" i="4"/>
  <c r="J67" i="4"/>
  <c r="I67" i="4"/>
  <c r="H67" i="4"/>
  <c r="G67" i="4"/>
  <c r="J66" i="4"/>
  <c r="I66" i="4"/>
  <c r="H66" i="4"/>
  <c r="G66" i="4"/>
  <c r="J65" i="4"/>
  <c r="I65" i="4"/>
  <c r="H65" i="4"/>
  <c r="G65" i="4"/>
  <c r="J64" i="4"/>
  <c r="I64" i="4"/>
  <c r="H64" i="4"/>
  <c r="G64" i="4"/>
  <c r="J63" i="4"/>
  <c r="I63" i="4" s="1"/>
  <c r="H63" i="4"/>
  <c r="G63" i="4"/>
  <c r="J62" i="4"/>
  <c r="I62" i="4" s="1"/>
  <c r="H62" i="4"/>
  <c r="G62" i="4"/>
  <c r="J61" i="4"/>
  <c r="I61" i="4" s="1"/>
  <c r="H61" i="4"/>
  <c r="G61" i="4"/>
  <c r="J60" i="4"/>
  <c r="I60" i="4" s="1"/>
  <c r="H60" i="4"/>
  <c r="G60" i="4"/>
  <c r="J59" i="4"/>
  <c r="I59" i="4" s="1"/>
  <c r="H59" i="4"/>
  <c r="G59" i="4"/>
  <c r="J58" i="4"/>
  <c r="I58" i="4" s="1"/>
  <c r="H58" i="4"/>
  <c r="G58" i="4"/>
  <c r="J57" i="4"/>
  <c r="I57" i="4" s="1"/>
  <c r="H57" i="4"/>
  <c r="G57" i="4"/>
  <c r="J56" i="4"/>
  <c r="I56" i="4" s="1"/>
  <c r="H56" i="4"/>
  <c r="G56" i="4"/>
  <c r="J55" i="4"/>
  <c r="I55" i="4" s="1"/>
  <c r="H55" i="4"/>
  <c r="G55" i="4"/>
  <c r="J54" i="4"/>
  <c r="I54" i="4" s="1"/>
  <c r="H54" i="4"/>
  <c r="G54" i="4"/>
  <c r="J53" i="4"/>
  <c r="I53" i="4" s="1"/>
  <c r="H53" i="4"/>
  <c r="G53" i="4"/>
  <c r="J52" i="4"/>
  <c r="I52" i="4" s="1"/>
  <c r="H52" i="4"/>
  <c r="G52" i="4"/>
  <c r="J51" i="4"/>
  <c r="I51" i="4" s="1"/>
  <c r="H51" i="4"/>
  <c r="G51" i="4"/>
  <c r="J50" i="4"/>
  <c r="I50" i="4"/>
  <c r="H50" i="4"/>
  <c r="G50" i="4"/>
  <c r="J49" i="4"/>
  <c r="I49" i="4" s="1"/>
  <c r="H49" i="4"/>
  <c r="G49" i="4"/>
  <c r="J48" i="4"/>
  <c r="I48" i="4" s="1"/>
  <c r="H48" i="4"/>
  <c r="G48" i="4"/>
  <c r="J47" i="4"/>
  <c r="I47" i="4" s="1"/>
  <c r="H47" i="4"/>
  <c r="G47" i="4"/>
  <c r="J46" i="4"/>
  <c r="I46" i="4" s="1"/>
  <c r="H46" i="4"/>
  <c r="G46" i="4"/>
  <c r="J45" i="4"/>
  <c r="I45" i="4" s="1"/>
  <c r="H45" i="4"/>
  <c r="G45" i="4"/>
  <c r="J44" i="4"/>
  <c r="I44" i="4" s="1"/>
  <c r="H44" i="4"/>
  <c r="G44" i="4"/>
  <c r="J43" i="4"/>
  <c r="I43" i="4" s="1"/>
  <c r="H43" i="4"/>
  <c r="G43" i="4"/>
  <c r="J42" i="4"/>
  <c r="I42" i="4" s="1"/>
  <c r="H42" i="4"/>
  <c r="G42" i="4"/>
  <c r="J41" i="4"/>
  <c r="I41" i="4" s="1"/>
  <c r="H41" i="4"/>
  <c r="G41" i="4"/>
  <c r="J40" i="4"/>
  <c r="I40" i="4" s="1"/>
  <c r="H40" i="4"/>
  <c r="G40" i="4"/>
  <c r="J39" i="4"/>
  <c r="I39" i="4"/>
  <c r="H39" i="4"/>
  <c r="G39" i="4"/>
  <c r="J38" i="4"/>
  <c r="I38" i="4" s="1"/>
  <c r="H38" i="4"/>
  <c r="G38" i="4"/>
  <c r="J37" i="4"/>
  <c r="I37" i="4" s="1"/>
  <c r="H37" i="4"/>
  <c r="G37" i="4"/>
  <c r="J36" i="4"/>
  <c r="I36" i="4" s="1"/>
  <c r="H36" i="4"/>
  <c r="G36" i="4"/>
  <c r="H35" i="4"/>
  <c r="G35" i="4"/>
  <c r="J35" i="4" s="1"/>
  <c r="I35" i="4" s="1"/>
  <c r="H34" i="4"/>
  <c r="G34" i="4"/>
  <c r="J34" i="4" s="1"/>
  <c r="I34" i="4" s="1"/>
  <c r="H33" i="4"/>
  <c r="G33" i="4"/>
  <c r="J33" i="4" s="1"/>
  <c r="H32" i="4"/>
  <c r="G32" i="4"/>
  <c r="J32" i="4" s="1"/>
  <c r="I32" i="4" s="1"/>
  <c r="H31" i="4"/>
  <c r="G31" i="4"/>
  <c r="J31" i="4" s="1"/>
  <c r="I31" i="4" s="1"/>
  <c r="H30" i="4"/>
  <c r="G30" i="4"/>
  <c r="J30" i="4" s="1"/>
  <c r="H29" i="4"/>
  <c r="G29" i="4"/>
  <c r="J29" i="4" s="1"/>
  <c r="I29" i="4" s="1"/>
  <c r="H28" i="4"/>
  <c r="G28" i="4"/>
  <c r="J28" i="4" s="1"/>
  <c r="I28" i="4" s="1"/>
  <c r="H27" i="4"/>
  <c r="G27" i="4"/>
  <c r="J27" i="4" s="1"/>
  <c r="I27" i="4" s="1"/>
  <c r="H26" i="4"/>
  <c r="G26" i="4"/>
  <c r="J26" i="4" s="1"/>
  <c r="H25" i="4"/>
  <c r="G25" i="4"/>
  <c r="J25" i="4" s="1"/>
  <c r="I25" i="4" s="1"/>
  <c r="H24" i="4"/>
  <c r="G24" i="4"/>
  <c r="J24" i="4" s="1"/>
  <c r="I24" i="4" s="1"/>
  <c r="H23" i="4"/>
  <c r="G23" i="4"/>
  <c r="J23" i="4" s="1"/>
  <c r="H22" i="4"/>
  <c r="G22" i="4"/>
  <c r="J22" i="4" s="1"/>
  <c r="I22" i="4" s="1"/>
  <c r="H21" i="4"/>
  <c r="G21" i="4"/>
  <c r="J21" i="4" s="1"/>
  <c r="I21" i="4" s="1"/>
  <c r="H20" i="4"/>
  <c r="G20" i="4"/>
  <c r="J20" i="4" s="1"/>
  <c r="I20" i="4" s="1"/>
  <c r="H19" i="4"/>
  <c r="G19" i="4"/>
  <c r="J19" i="4" s="1"/>
  <c r="H18" i="4"/>
  <c r="G18" i="4"/>
  <c r="J18" i="4" s="1"/>
  <c r="I18" i="4" s="1"/>
  <c r="H17" i="4"/>
  <c r="G17" i="4"/>
  <c r="J17" i="4" s="1"/>
  <c r="I17" i="4" s="1"/>
  <c r="H16" i="4"/>
  <c r="G16" i="4"/>
  <c r="J16" i="4" s="1"/>
  <c r="H15" i="4"/>
  <c r="G15" i="4"/>
  <c r="J15" i="4" s="1"/>
  <c r="I15" i="4" s="1"/>
  <c r="H14" i="4"/>
  <c r="G14" i="4"/>
  <c r="J14" i="4" s="1"/>
  <c r="I14" i="4" s="1"/>
  <c r="H13" i="4"/>
  <c r="G13" i="4"/>
  <c r="J13" i="4" s="1"/>
  <c r="H12" i="4"/>
  <c r="G12" i="4"/>
  <c r="J12" i="4" s="1"/>
  <c r="H11" i="4"/>
  <c r="G11" i="4"/>
  <c r="J11" i="4" s="1"/>
  <c r="H10" i="4"/>
  <c r="G10" i="4"/>
  <c r="J10" i="4" s="1"/>
  <c r="I10" i="4" s="1"/>
  <c r="H9" i="4"/>
  <c r="G9" i="4"/>
  <c r="J9" i="4" s="1"/>
  <c r="H28" i="3"/>
  <c r="E28" i="3"/>
  <c r="H27" i="3"/>
  <c r="E27" i="3"/>
  <c r="H26" i="3"/>
  <c r="E26" i="3"/>
  <c r="H25" i="3"/>
  <c r="E25" i="3"/>
  <c r="H24" i="3"/>
  <c r="E24" i="3"/>
  <c r="H23" i="3"/>
  <c r="E23" i="3"/>
  <c r="H22" i="3"/>
  <c r="E22" i="3"/>
  <c r="H21" i="3"/>
  <c r="E21" i="3"/>
  <c r="H20" i="3"/>
  <c r="E20" i="3"/>
  <c r="H19" i="3"/>
  <c r="E19" i="3"/>
  <c r="H18" i="3"/>
  <c r="E18" i="3"/>
  <c r="H17" i="3"/>
  <c r="E17" i="3"/>
  <c r="H16" i="3"/>
  <c r="E16" i="3"/>
  <c r="H15" i="3"/>
  <c r="E15" i="3"/>
  <c r="H14" i="3"/>
  <c r="E14" i="3"/>
  <c r="H13" i="3"/>
  <c r="E13" i="3"/>
  <c r="H12" i="3"/>
  <c r="E12" i="3"/>
  <c r="H11" i="3"/>
  <c r="E11" i="3"/>
  <c r="H10" i="3"/>
  <c r="E10" i="3"/>
  <c r="H9" i="3"/>
  <c r="E9" i="3"/>
  <c r="L38" i="2"/>
  <c r="J38" i="2"/>
  <c r="I38" i="2"/>
  <c r="H38" i="2"/>
  <c r="L37" i="2"/>
  <c r="J37" i="2"/>
  <c r="I37" i="2"/>
  <c r="H37" i="2"/>
  <c r="L36" i="2"/>
  <c r="J36" i="2"/>
  <c r="I36" i="2"/>
  <c r="H36" i="2"/>
  <c r="L35" i="2"/>
  <c r="J35" i="2"/>
  <c r="I35" i="2"/>
  <c r="H35" i="2"/>
  <c r="L34" i="2"/>
  <c r="J34" i="2"/>
  <c r="I34" i="2"/>
  <c r="H34" i="2"/>
  <c r="L33" i="2"/>
  <c r="J33" i="2"/>
  <c r="I33" i="2"/>
  <c r="H33" i="2"/>
  <c r="L32" i="2"/>
  <c r="J32" i="2"/>
  <c r="I32" i="2"/>
  <c r="H32" i="2"/>
  <c r="L31" i="2"/>
  <c r="J31" i="2"/>
  <c r="I31" i="2"/>
  <c r="H31" i="2"/>
  <c r="L30" i="2"/>
  <c r="J30" i="2"/>
  <c r="I30" i="2"/>
  <c r="H30" i="2"/>
  <c r="L29" i="2"/>
  <c r="J29" i="2"/>
  <c r="I29" i="2"/>
  <c r="H29" i="2"/>
  <c r="L28" i="2"/>
  <c r="J28" i="2"/>
  <c r="I28" i="2"/>
  <c r="H28" i="2"/>
  <c r="L27" i="2"/>
  <c r="J27" i="2"/>
  <c r="I27" i="2"/>
  <c r="H27" i="2"/>
  <c r="L26" i="2"/>
  <c r="J26" i="2"/>
  <c r="I26" i="2"/>
  <c r="H26" i="2"/>
  <c r="L25" i="2"/>
  <c r="J25" i="2"/>
  <c r="I25" i="2"/>
  <c r="H25" i="2"/>
  <c r="L24" i="2"/>
  <c r="J24" i="2"/>
  <c r="I24" i="2"/>
  <c r="H24" i="2"/>
  <c r="L23" i="2"/>
  <c r="J23" i="2"/>
  <c r="I23" i="2"/>
  <c r="H23" i="2"/>
  <c r="L22" i="2"/>
  <c r="J22" i="2"/>
  <c r="I22" i="2"/>
  <c r="H22" i="2"/>
  <c r="L21" i="2"/>
  <c r="J21" i="2"/>
  <c r="I21" i="2"/>
  <c r="H21" i="2"/>
  <c r="L20" i="2"/>
  <c r="J20" i="2"/>
  <c r="I20" i="2"/>
  <c r="H20" i="2"/>
  <c r="L19" i="2"/>
  <c r="J19" i="2"/>
  <c r="I19" i="2"/>
  <c r="H19" i="2"/>
  <c r="F41" i="1"/>
  <c r="D41" i="1"/>
  <c r="E41" i="1" s="1"/>
  <c r="C41" i="1"/>
  <c r="B41" i="1"/>
  <c r="F40" i="1"/>
  <c r="D40" i="1"/>
  <c r="E40" i="1" s="1"/>
  <c r="C40" i="1"/>
  <c r="B40" i="1"/>
  <c r="F39" i="1"/>
  <c r="D39" i="1"/>
  <c r="E39" i="1" s="1"/>
  <c r="C39" i="1"/>
  <c r="B39" i="1"/>
  <c r="F38" i="1"/>
  <c r="D38" i="1"/>
  <c r="E38" i="1" s="1"/>
  <c r="C38" i="1"/>
  <c r="B38" i="1"/>
  <c r="F37" i="1"/>
  <c r="D37" i="1"/>
  <c r="E37" i="1" s="1"/>
  <c r="C37" i="1"/>
  <c r="B37" i="1"/>
  <c r="F36" i="1"/>
  <c r="D36" i="1"/>
  <c r="E36" i="1" s="1"/>
  <c r="C36" i="1"/>
  <c r="B36" i="1"/>
  <c r="F35" i="1"/>
  <c r="D35" i="1"/>
  <c r="E35" i="1" s="1"/>
  <c r="C35" i="1"/>
  <c r="B35" i="1"/>
  <c r="F34" i="1"/>
  <c r="D34" i="1"/>
  <c r="E34" i="1" s="1"/>
  <c r="C34" i="1"/>
  <c r="B34" i="1"/>
  <c r="F33" i="1"/>
  <c r="D33" i="1"/>
  <c r="E33" i="1" s="1"/>
  <c r="C33" i="1"/>
  <c r="B33" i="1"/>
  <c r="F32" i="1"/>
  <c r="D32" i="1"/>
  <c r="E32" i="1" s="1"/>
  <c r="C32" i="1"/>
  <c r="B32" i="1"/>
  <c r="F31" i="1"/>
  <c r="D31" i="1"/>
  <c r="E31" i="1" s="1"/>
  <c r="C31" i="1"/>
  <c r="B31" i="1"/>
  <c r="F30" i="1"/>
  <c r="D30" i="1"/>
  <c r="E30" i="1" s="1"/>
  <c r="C30" i="1"/>
  <c r="B30" i="1"/>
  <c r="F29" i="1"/>
  <c r="D29" i="1"/>
  <c r="E29" i="1" s="1"/>
  <c r="C29" i="1"/>
  <c r="B29" i="1"/>
  <c r="F28" i="1"/>
  <c r="D28" i="1"/>
  <c r="E28" i="1" s="1"/>
  <c r="C28" i="1"/>
  <c r="B28" i="1"/>
  <c r="F27" i="1"/>
  <c r="D27" i="1"/>
  <c r="E27" i="1" s="1"/>
  <c r="C27" i="1"/>
  <c r="B27" i="1"/>
  <c r="F26" i="1"/>
  <c r="D26" i="1"/>
  <c r="E26" i="1" s="1"/>
  <c r="C26" i="1"/>
  <c r="B26" i="1"/>
  <c r="F25" i="1"/>
  <c r="D25" i="1"/>
  <c r="E25" i="1" s="1"/>
  <c r="C25" i="1"/>
  <c r="B25" i="1"/>
  <c r="F24" i="1"/>
  <c r="D24" i="1"/>
  <c r="E24" i="1" s="1"/>
  <c r="C24" i="1"/>
  <c r="B24" i="1"/>
  <c r="F23" i="1"/>
  <c r="D23" i="1"/>
  <c r="E23" i="1" s="1"/>
  <c r="C23" i="1"/>
  <c r="B23" i="1"/>
  <c r="F22" i="1"/>
  <c r="D22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E12" i="1"/>
  <c r="C12" i="1"/>
  <c r="B12" i="1"/>
  <c r="I33" i="4" l="1"/>
  <c r="L18" i="2"/>
  <c r="I30" i="4"/>
  <c r="L17" i="2"/>
  <c r="I26" i="4"/>
  <c r="L16" i="2"/>
  <c r="L15" i="2"/>
  <c r="I23" i="4"/>
  <c r="I19" i="4"/>
  <c r="L14" i="2"/>
  <c r="L13" i="2"/>
  <c r="I16" i="4"/>
  <c r="L12" i="2"/>
  <c r="I13" i="4"/>
  <c r="L11" i="2"/>
  <c r="I12" i="4"/>
  <c r="L10" i="2"/>
  <c r="I11" i="4"/>
  <c r="L6" i="1"/>
  <c r="L9" i="2"/>
  <c r="I9" i="4"/>
  <c r="F21" i="1" l="1"/>
  <c r="H18" i="2"/>
  <c r="I18" i="2"/>
  <c r="J18" i="2"/>
  <c r="D21" i="1" s="1"/>
  <c r="F20" i="1"/>
  <c r="H17" i="2"/>
  <c r="I17" i="2"/>
  <c r="J17" i="2"/>
  <c r="D20" i="1" s="1"/>
  <c r="F19" i="1"/>
  <c r="H16" i="2"/>
  <c r="I16" i="2"/>
  <c r="J16" i="2" s="1"/>
  <c r="D19" i="1" s="1"/>
  <c r="F18" i="1"/>
  <c r="H15" i="2"/>
  <c r="J15" i="2" s="1"/>
  <c r="D18" i="1" s="1"/>
  <c r="I15" i="2"/>
  <c r="F17" i="1"/>
  <c r="H14" i="2"/>
  <c r="J14" i="2" s="1"/>
  <c r="D17" i="1" s="1"/>
  <c r="E17" i="1" s="1"/>
  <c r="I14" i="2"/>
  <c r="F16" i="1"/>
  <c r="H13" i="2"/>
  <c r="I13" i="2"/>
  <c r="J13" i="2"/>
  <c r="D16" i="1" s="1"/>
  <c r="F15" i="1"/>
  <c r="H12" i="2"/>
  <c r="J12" i="2" s="1"/>
  <c r="D15" i="1" s="1"/>
  <c r="I12" i="2"/>
  <c r="F14" i="1"/>
  <c r="H11" i="2"/>
  <c r="J11" i="2" s="1"/>
  <c r="D14" i="1" s="1"/>
  <c r="E14" i="1" s="1"/>
  <c r="I11" i="2"/>
  <c r="F13" i="1"/>
  <c r="H10" i="2"/>
  <c r="I10" i="2"/>
  <c r="J10" i="2"/>
  <c r="D13" i="1" s="1"/>
  <c r="L7" i="1"/>
  <c r="F12" i="1"/>
  <c r="H9" i="2"/>
  <c r="I9" i="2"/>
  <c r="J9" i="2"/>
  <c r="D12" i="1" s="1"/>
  <c r="E22" i="1" l="1"/>
  <c r="E21" i="1"/>
  <c r="E16" i="1"/>
  <c r="E13" i="1"/>
  <c r="E20" i="1"/>
  <c r="E15" i="1"/>
  <c r="E19" i="1"/>
  <c r="E18" i="1"/>
</calcChain>
</file>

<file path=xl/sharedStrings.xml><?xml version="1.0" encoding="utf-8"?>
<sst xmlns="http://schemas.openxmlformats.org/spreadsheetml/2006/main" count="152" uniqueCount="121">
  <si>
    <t>Plan challenge and recovery across one level. Scores express design intent.</t>
  </si>
  <si>
    <t>Game</t>
  </si>
  <si>
    <t>Black Evasion example</t>
  </si>
  <si>
    <t>Version</t>
  </si>
  <si>
    <t>Example v1</t>
  </si>
  <si>
    <t>Entries needing attention</t>
  </si>
  <si>
    <t>Level</t>
  </si>
  <si>
    <t>Worked level</t>
  </si>
  <si>
    <t>Stage</t>
  </si>
  <si>
    <t>Planning</t>
  </si>
  <si>
    <t>Named segments without entries</t>
  </si>
  <si>
    <t>Team</t>
  </si>
  <si>
    <t>Replace with team ID</t>
  </si>
  <si>
    <t>Date</t>
  </si>
  <si>
    <t>Segment</t>
  </si>
  <si>
    <t>Name</t>
  </si>
  <si>
    <t>Planned score</t>
  </si>
  <si>
    <t>Change</t>
  </si>
  <si>
    <t>Entry status</t>
  </si>
  <si>
    <t>Read the shape within your project. A higher score is a larger planned total.</t>
  </si>
  <si>
    <t>Use the workbook</t>
  </si>
  <si>
    <t>1  Save a copy before replacing the example.</t>
  </si>
  <si>
    <t>2  Name your level segments on Segments.</t>
  </si>
  <si>
    <t>3  Set element names, weights and counting units on Elements.</t>
  </si>
  <si>
    <t>4  Add each occurrence or group on Level Map.</t>
  </si>
  <si>
    <t>5  Review the curve and record your reasons for changes.</t>
  </si>
  <si>
    <t>Amber = editable inputs     Blue = calculated outputs</t>
  </si>
  <si>
    <t>Purple = challenge     Green = support     Gray = neutral</t>
  </si>
  <si>
    <t>Red messages identify incomplete or invalid entries.</t>
  </si>
  <si>
    <t>Blank unused segments do not have a score.</t>
  </si>
  <si>
    <t>#N/A on a named segment means its entries need attention.</t>
  </si>
  <si>
    <t>Capacity: 30 segments, 20 element types and 300 map entries.</t>
  </si>
  <si>
    <t>Keep named segments together from ID 1 onward.</t>
  </si>
  <si>
    <t>Read LDMT Game Jam Tutorial for setup and examples.</t>
  </si>
  <si>
    <t>Segments</t>
  </si>
  <si>
    <t>Name consecutive segments in play order. Leave unused names blank.</t>
  </si>
  <si>
    <t>Amber inputs describe your plan. Blue totals come from Level Map. Negative support reduces the planned score.</t>
  </si>
  <si>
    <t>ID</t>
  </si>
  <si>
    <t>Segment name</t>
  </si>
  <si>
    <t>Zone optional</t>
  </si>
  <si>
    <t>Learning phase</t>
  </si>
  <si>
    <t>Mechanics</t>
  </si>
  <si>
    <t>Design intent and context</t>
  </si>
  <si>
    <t>Challenge +</t>
  </si>
  <si>
    <t>Support −</t>
  </si>
  <si>
    <t>Revision notes</t>
  </si>
  <si>
    <t>Segment 1</t>
  </si>
  <si>
    <t>Black Evasion</t>
  </si>
  <si>
    <t>Segment 2</t>
  </si>
  <si>
    <t>Segment 3</t>
  </si>
  <si>
    <t>Segment 4</t>
  </si>
  <si>
    <t>Segment 5</t>
  </si>
  <si>
    <t>Segment 6</t>
  </si>
  <si>
    <t>Segment 7</t>
  </si>
  <si>
    <t>Segment 8</t>
  </si>
  <si>
    <t>Segment 9</t>
  </si>
  <si>
    <t>Segment 10</t>
  </si>
  <si>
    <t>Elements and weights</t>
  </si>
  <si>
    <t>Define what one occurrence means. These starting weights are Black Evasion examples.</t>
  </si>
  <si>
    <t>Keep IDs fixed. Enter your own names and weights. The sign controls the role and its color.</t>
  </si>
  <si>
    <t>Element name</t>
  </si>
  <si>
    <t>Weight</t>
  </si>
  <si>
    <t>Role</t>
  </si>
  <si>
    <t>Counting unit</t>
  </si>
  <si>
    <t>Weight rationale</t>
  </si>
  <si>
    <t>Library status</t>
  </si>
  <si>
    <t>Background</t>
  </si>
  <si>
    <t>One neutral context entry</t>
  </si>
  <si>
    <t>Neutral in the paper example.</t>
  </si>
  <si>
    <t>Floor or ceiling</t>
  </si>
  <si>
    <t>One spatial constraint</t>
  </si>
  <si>
    <t>Basic spatial constraint in the paper example.</t>
  </si>
  <si>
    <t>Cobra enemy</t>
  </si>
  <si>
    <t>One enemy encounter</t>
  </si>
  <si>
    <t>Dynamic enemy in the paper example.</t>
  </si>
  <si>
    <t>Light hazard</t>
  </si>
  <si>
    <t>One light hazard</t>
  </si>
  <si>
    <t>Higher-weight hazard in the paper example.</t>
  </si>
  <si>
    <t>Checkpoint</t>
  </si>
  <si>
    <t>One checkpoint</t>
  </si>
  <si>
    <t>Recovery support in the paper example.</t>
  </si>
  <si>
    <t>Life resource</t>
  </si>
  <si>
    <t>One life resource</t>
  </si>
  <si>
    <t>Support resource in the paper example.</t>
  </si>
  <si>
    <t>End of phase</t>
  </si>
  <si>
    <t>One end marker</t>
  </si>
  <si>
    <t>Structural marker in the paper example.</t>
  </si>
  <si>
    <t>Spawn</t>
  </si>
  <si>
    <t>One start marker</t>
  </si>
  <si>
    <t>Starting marker in the paper example.</t>
  </si>
  <si>
    <t>Source and scope</t>
  </si>
  <si>
    <t>Paper</t>
  </si>
  <si>
    <t>Rodrigues and Canavarro (2026), The Level Design Mapping Tool, Multimedia 2, 17.</t>
  </si>
  <si>
    <t>https://doi.org/10.3390/multimedia2040017</t>
  </si>
  <si>
    <t>Weights: Table 3. Segment inputs and scores: Table 4. Revision examples: Table 5.</t>
  </si>
  <si>
    <t>Model</t>
  </si>
  <si>
    <t>Score = sum of weight × quantity. Scores are project-relative and have no 0–10 cap.</t>
  </si>
  <si>
    <t>The jam workbook adds linked lookups, entry checks and a practical location log.</t>
  </si>
  <si>
    <t>The original spreadsheet has stale displayed totals. This example follows the paper.</t>
  </si>
  <si>
    <t>The example uses grouped entries. Exact spatial positions must be added by the team.</t>
  </si>
  <si>
    <t>Level Map</t>
  </si>
  <si>
    <t>Record where each element appears. Use one row per occurrence or clearly defined group.</t>
  </si>
  <si>
    <t>IDs identify a segment and element. Quantity follows the counting unit in Elements; it is not the number of drawn tiles.</t>
  </si>
  <si>
    <t>Segment ID</t>
  </si>
  <si>
    <t>Element ID</t>
  </si>
  <si>
    <t>Quantity</t>
  </si>
  <si>
    <t>Location or timing</t>
  </si>
  <si>
    <t>Context or combination notes</t>
  </si>
  <si>
    <t>Unit weight</t>
  </si>
  <si>
    <t>Contribution</t>
  </si>
  <si>
    <t>Paper Table 4; segment 1, grouped contribution.</t>
  </si>
  <si>
    <t>Paper Table 4; segment 2, grouped contribution.</t>
  </si>
  <si>
    <t>Paper Table 4; segment 3, grouped contribution.</t>
  </si>
  <si>
    <t>Paper Table 4; segment 4, grouped contribution.</t>
  </si>
  <si>
    <t>Paper Table 4; segment 5, grouped contribution.</t>
  </si>
  <si>
    <t>Paper Table 4; segment 6, grouped contribution.</t>
  </si>
  <si>
    <t>Paper Table 4; segment 7, grouped contribution.</t>
  </si>
  <si>
    <t>Paper Table 4; segment 8, grouped contribution.</t>
  </si>
  <si>
    <t>Paper Table 4; segment 9, grouped contribution.</t>
  </si>
  <si>
    <t>Paper Table 4; segment 10, grouped contribution.</t>
  </si>
  <si>
    <t>Level Design Mapping Tool level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</si>
</sst>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yy"/>
    <numFmt numFmtId="165" formatCode="0.0;\-0.0;0"/>
    <numFmt numFmtId="166" formatCode="0.0"/>
  </numFmts>
  <fonts count="6">
    <font>
      <sz val="11"/>
      <name val="Carlito"/>
    </font>
    <font>
      <sz val="10"/>
      <color rgb="FF243247"/>
      <name val="Arial"/>
    </font>
    <font>
      <b/>
      <sz val="16"/>
      <color rgb="FF243247"/>
      <name val="Arial"/>
    </font>
    <font>
      <i/>
      <sz val="10"/>
      <color rgb="FF69778A"/>
      <name val="Arial"/>
    </font>
    <font>
      <b/>
      <sz val="10"/>
      <color rgb="FFFFFFFF"/>
      <name val="Arial"/>
    </font>
    <font>
      <b/>
      <sz val="10"/>
      <color rgb="FF243247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1CC"/>
      </patternFill>
    </fill>
    <fill>
      <patternFill patternType="solid">
        <fgColor rgb="FF273E63"/>
      </patternFill>
    </fill>
    <fill>
      <patternFill patternType="solid">
        <fgColor rgb="FFE8F0FA"/>
      </patternFill>
    </fill>
    <fill>
      <patternFill patternType="solid">
        <fgColor rgb="FFEEE8F7"/>
      </patternFill>
    </fill>
    <fill>
      <patternFill patternType="solid">
        <fgColor rgb="FFDDF1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center"/>
    </xf>
    <xf numFmtId="165" fontId="1" fillId="4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165" fontId="1" fillId="5" borderId="0" xfId="0" applyNumberFormat="1" applyFont="1" applyFill="1" applyAlignment="1">
      <alignment vertical="center"/>
    </xf>
    <xf numFmtId="165" fontId="1" fillId="6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166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10">
    <dxf>
      <font>
        <b/>
        <color rgb="FFA32536"/>
      </font>
      <fill>
        <patternFill patternType="solid">
          <bgColor rgb="FFFBE3E4"/>
        </patternFill>
      </fill>
    </dxf>
    <dxf>
      <fill>
        <patternFill patternType="solid">
          <bgColor rgb="FFDDF1E7"/>
        </patternFill>
      </fill>
    </dxf>
    <dxf>
      <fill>
        <patternFill patternType="solid">
          <bgColor rgb="FFEEE8F7"/>
        </patternFill>
      </fill>
    </dxf>
    <dxf>
      <font>
        <b/>
        <color rgb="FFA32536"/>
      </font>
      <fill>
        <patternFill patternType="solid">
          <bgColor rgb="FFFBE3E4"/>
        </patternFill>
      </fill>
    </dxf>
    <dxf>
      <fill>
        <patternFill patternType="solid">
          <bgColor rgb="FFE7EBF0"/>
        </patternFill>
      </fill>
    </dxf>
    <dxf>
      <fill>
        <patternFill patternType="solid">
          <bgColor rgb="FFDDF1E7"/>
        </patternFill>
      </fill>
    </dxf>
    <dxf>
      <fill>
        <patternFill patternType="solid">
          <bgColor rgb="FFEEE8F7"/>
        </patternFill>
      </fill>
    </dxf>
    <dxf>
      <font>
        <b/>
        <color rgb="FFA32536"/>
      </font>
      <fill>
        <patternFill patternType="solid">
          <bgColor rgb="FFFBE3E4"/>
        </patternFill>
      </fill>
    </dxf>
    <dxf>
      <font>
        <b/>
        <color rgb="FFA32536"/>
      </font>
      <fill>
        <patternFill patternType="solid">
          <bgColor rgb="FFFBE3E4"/>
        </patternFill>
      </fill>
    </dxf>
    <dxf>
      <font>
        <b/>
        <color rgb="FFA32536"/>
      </font>
      <fill>
        <patternFill patternType="solid">
          <bgColor rgb="FFFBE3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Planned challenge across the level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Planned score</c:v>
          </c:tx>
          <c:spPr>
            <a:ln w="23813">
              <a:solidFill>
                <a:srgbClr val="73518F"/>
              </a:solidFill>
              <a:prstDash val="solid"/>
            </a:ln>
          </c:spPr>
          <c:marker>
            <c:symbol val="none"/>
          </c:marker>
          <c:cat>
            <c:numRef>
              <c:f>[0]!PlotSegments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[0]!PlotScores</c:f>
              <c:numCache>
                <c:formatCode>0.0;\-0.0;0</c:formatCode>
                <c:ptCount val="6"/>
                <c:pt idx="0">
                  <c:v>0</c:v>
                </c:pt>
                <c:pt idx="1">
                  <c:v>-1</c:v>
                </c:pt>
                <c:pt idx="2">
                  <c:v>1</c:v>
                </c:pt>
                <c:pt idx="3">
                  <c:v>-1</c:v>
                </c:pt>
                <c:pt idx="4">
                  <c:v>-1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23-4C4C-9516-1821C3F66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Segment in play order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Planned challenge index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3E63"/>
  </sheetPr>
  <dimension ref="A1:P52"/>
  <sheetViews>
    <sheetView showGridLines="0" tabSelected="1" workbookViewId="0">
      <selection activeCell="B2" sqref="B2"/>
    </sheetView>
  </sheetViews>
  <sheetFormatPr defaultRowHeight="14"/>
  <cols>
    <col min="1" max="1" width="3" customWidth="1"/>
    <col min="2" max="2" width="9" customWidth="1"/>
    <col min="3" max="3" width="28" customWidth="1"/>
    <col min="4" max="4" width="13" customWidth="1"/>
    <col min="5" max="5" width="14" customWidth="1"/>
    <col min="6" max="6" width="23" customWidth="1"/>
    <col min="7" max="7" width="3" customWidth="1"/>
    <col min="8" max="8" width="14" customWidth="1"/>
    <col min="9" max="16" width="10" customWidth="1"/>
  </cols>
  <sheetData>
    <row r="1" spans="1:16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0" customHeight="1">
      <c r="A2" s="1"/>
      <c r="B2" s="2" t="s">
        <v>120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3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3" customHeight="1">
      <c r="A4" s="1"/>
      <c r="B4" s="3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3" customHeight="1">
      <c r="A6" s="1"/>
      <c r="B6" s="1" t="s">
        <v>1</v>
      </c>
      <c r="C6" s="4" t="inlineStr">
        <is>
          <t>JUNTOS</t>
        </is>
      </c>
      <c r="D6" s="1"/>
      <c r="E6" s="1" t="s">
        <v>3</v>
      </c>
      <c r="F6" s="4" t="inlineStr">
        <is>
          <t>MVP Plan 1</t>
        </is>
      </c>
      <c r="G6" s="1"/>
      <c r="H6" s="1" t="s">
        <v>5</v>
      </c>
      <c r="I6" s="1"/>
      <c r="J6" s="1"/>
      <c r="K6" s="1"/>
      <c r="L6" s="1">
        <f>ROWS('Level Map'!$J$9:$J$308)-COUNTBLANK('Level Map'!$J$9:$J$308)-COUNTIF('Level Map'!$J$9:$J$308,"Ready")</f>
        <v>0</v>
      </c>
      <c r="M6" s="1"/>
      <c r="N6" s="1"/>
      <c r="O6" s="1"/>
      <c r="P6" s="1"/>
    </row>
    <row r="7" spans="1:16" ht="23" customHeight="1">
      <c r="A7" s="1"/>
      <c r="B7" s="1" t="s">
        <v>6</v>
      </c>
      <c r="C7" s="4" t="inlineStr">
        <is>
          <t>Torre cooperativa</t>
        </is>
      </c>
      <c r="D7" s="1"/>
      <c r="E7" s="1" t="s">
        <v>8</v>
      </c>
      <c r="F7" s="4" t="inlineStr">
        <is>
          <t>Planning</t>
        </is>
      </c>
      <c r="G7" s="1"/>
      <c r="H7" s="1" t="s">
        <v>10</v>
      </c>
      <c r="I7" s="1"/>
      <c r="J7" s="1"/>
      <c r="K7" s="1"/>
      <c r="L7" s="1">
        <f>COUNTIF(Segments!$L$9:$L$38,"Add map entries")</f>
        <v>0</v>
      </c>
      <c r="M7" s="1"/>
      <c r="N7" s="1"/>
      <c r="O7" s="1"/>
      <c r="P7" s="1"/>
    </row>
    <row r="8" spans="1:16" ht="23" customHeight="1">
      <c r="A8" s="1"/>
      <c r="B8" s="1" t="s">
        <v>11</v>
      </c>
      <c r="C8" s="4" t="inlineStr">
        <is>
          <t>Equipe JUNTOS (sem ID)</t>
        </is>
      </c>
      <c r="D8" s="1"/>
      <c r="E8" s="1" t="s">
        <v>13</v>
      </c>
      <c r="F8" s="5">
        <v>46326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3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3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34" customHeight="1">
      <c r="A11" s="1"/>
      <c r="B11" s="6" t="s">
        <v>14</v>
      </c>
      <c r="C11" s="6" t="s">
        <v>15</v>
      </c>
      <c r="D11" s="6" t="s">
        <v>16</v>
      </c>
      <c r="E11" s="6" t="s">
        <v>17</v>
      </c>
      <c r="F11" s="6" t="s">
        <v>18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3" customHeight="1">
      <c r="A12" s="1"/>
      <c r="B12" s="7">
        <f>IF(Segments!C9="","",Segments!B9)</f>
        <v>1</v>
      </c>
      <c r="C12" s="7" t="str">
        <f>IF(Segments!C9="","",Segments!C9)</f>
        <v>Chamado</v>
      </c>
      <c r="D12" s="8">
        <f>IF(Segments!C9="","",Segments!J9)</f>
        <v>0</v>
      </c>
      <c r="E12" s="8" t="str">
        <f>""</f>
        <v/>
      </c>
      <c r="F12" s="7" t="str">
        <f>IF(Segments!C9="","",Segments!L9)</f>
        <v>Ready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3" customHeight="1">
      <c r="A13" s="1"/>
      <c r="B13" s="7">
        <f>IF(Segments!C10="","",Segments!B10)</f>
        <v>2</v>
      </c>
      <c r="C13" s="7" t="str">
        <f>IF(Segments!C10="","",Segments!C10)</f>
        <v>Oficina</v>
      </c>
      <c r="D13" s="8">
        <f>IF(Segments!C10="","",Segments!J10)</f>
        <v>-1</v>
      </c>
      <c r="E13" s="8">
        <f t="shared" ref="E13:E41" si="0">IF(AND(ISNUMBER(D13),ISNUMBER(D12)),D13-D12,"")</f>
        <v>-1</v>
      </c>
      <c r="F13" s="7" t="str">
        <f>IF(Segments!C10="","",Segments!L10)</f>
        <v>Ready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3" customHeight="1">
      <c r="A14" s="1"/>
      <c r="B14" s="7">
        <f>IF(Segments!C11="","",Segments!B11)</f>
        <v>3</v>
      </c>
      <c r="C14" s="7" t="str">
        <f>IF(Segments!C11="","",Segments!C11)</f>
        <v>Patrulha</v>
      </c>
      <c r="D14" s="8">
        <f>IF(Segments!C11="","",Segments!J11)</f>
        <v>1</v>
      </c>
      <c r="E14" s="8">
        <f t="shared" si="0"/>
        <v>2</v>
      </c>
      <c r="F14" s="7" t="str">
        <f>IF(Segments!C11="","",Segments!L11)</f>
        <v>Ready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3" customHeight="1">
      <c r="A15" s="1"/>
      <c r="B15" s="7">
        <f>IF(Segments!C12="","",Segments!B12)</f>
        <v>4</v>
      </c>
      <c r="C15" s="7" t="str">
        <f>IF(Segments!C12="","",Segments!C12)</f>
        <v>Reconstrucao</v>
      </c>
      <c r="D15" s="8">
        <f>IF(Segments!C12="","",Segments!J12)</f>
        <v>-1</v>
      </c>
      <c r="E15" s="8">
        <f t="shared" si="0"/>
        <v>-2</v>
      </c>
      <c r="F15" s="7" t="str">
        <f>IF(Segments!C12="","",Segments!L12)</f>
        <v>Ready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3" customHeight="1">
      <c r="A16" s="1"/>
      <c r="B16" s="7">
        <f>IF(Segments!C13="","",Segments!B13)</f>
        <v>5</v>
      </c>
      <c r="C16" s="7" t="str">
        <f>IF(Segments!C13="","",Segments!C13)</f>
        <v>Topo</v>
      </c>
      <c r="D16" s="8">
        <f>IF(Segments!C13="","",Segments!J13)</f>
        <v>-1</v>
      </c>
      <c r="E16" s="8">
        <f t="shared" si="0"/>
        <v>0</v>
      </c>
      <c r="F16" s="7" t="str">
        <f>IF(Segments!C13="","",Segments!L13)</f>
        <v>Ready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3" customHeight="1">
      <c r="A17" s="1"/>
      <c r="B17" s="7">
        <f>IF(Segments!C14="","",Segments!B14)</f>
        <v>6</v>
      </c>
      <c r="C17" s="7" t="str">
        <f>IF(Segments!C14="","",Segments!C14)</f>
        <v>Mundo real</v>
      </c>
      <c r="D17" s="8">
        <f>IF(Segments!C14="","",Segments!J14)</f>
        <v>0</v>
      </c>
      <c r="E17" s="8">
        <f t="shared" si="0"/>
        <v>1</v>
      </c>
      <c r="F17" s="7" t="str">
        <f>IF(Segments!C14="","",Segments!L14)</f>
        <v>Ready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3" customHeight="1">
      <c r="A18" s="1"/>
      <c r="B18" s="7" t="str">
        <f>IF(Segments!C15="","",Segments!B15)</f>
        <v/>
      </c>
      <c r="C18" s="7" t="str">
        <f>IF(Segments!C15="","",Segments!C15)</f>
        <v/>
      </c>
      <c r="D18" s="8" t="str">
        <f>IF(Segments!C15="","",Segments!J15)</f>
        <v/>
      </c>
      <c r="E18" s="8" t="str">
        <f t="shared" si="0"/>
        <v/>
      </c>
      <c r="F18" s="7" t="str">
        <f>IF(Segments!C15="","",Segments!L15)</f>
        <v/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3" customHeight="1">
      <c r="A19" s="1"/>
      <c r="B19" s="7" t="str">
        <f>IF(Segments!C16="","",Segments!B16)</f>
        <v/>
      </c>
      <c r="C19" s="7" t="str">
        <f>IF(Segments!C16="","",Segments!C16)</f>
        <v/>
      </c>
      <c r="D19" s="8" t="str">
        <f>IF(Segments!C16="","",Segments!J16)</f>
        <v/>
      </c>
      <c r="E19" s="8" t="str">
        <f t="shared" si="0"/>
        <v/>
      </c>
      <c r="F19" s="7" t="str">
        <f>IF(Segments!C16="","",Segments!L16)</f>
        <v/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3" customHeight="1">
      <c r="A20" s="1"/>
      <c r="B20" s="7" t="str">
        <f>IF(Segments!C17="","",Segments!B17)</f>
        <v/>
      </c>
      <c r="C20" s="7" t="str">
        <f>IF(Segments!C17="","",Segments!C17)</f>
        <v/>
      </c>
      <c r="D20" s="8" t="str">
        <f>IF(Segments!C17="","",Segments!J17)</f>
        <v/>
      </c>
      <c r="E20" s="8" t="str">
        <f t="shared" si="0"/>
        <v/>
      </c>
      <c r="F20" s="7" t="str">
        <f>IF(Segments!C17="","",Segments!L17)</f>
        <v/>
      </c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3" customHeight="1">
      <c r="A21" s="1"/>
      <c r="B21" s="7" t="str">
        <f>IF(Segments!C18="","",Segments!B18)</f>
        <v/>
      </c>
      <c r="C21" s="7" t="str">
        <f>IF(Segments!C18="","",Segments!C18)</f>
        <v/>
      </c>
      <c r="D21" s="8" t="str">
        <f>IF(Segments!C18="","",Segments!J18)</f>
        <v/>
      </c>
      <c r="E21" s="8" t="str">
        <f t="shared" si="0"/>
        <v/>
      </c>
      <c r="F21" s="7" t="str">
        <f>IF(Segments!C18="","",Segments!L18)</f>
        <v/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3" customHeight="1">
      <c r="A22" s="1"/>
      <c r="B22" s="7" t="str">
        <f>IF(Segments!C19="","",Segments!B19)</f>
        <v/>
      </c>
      <c r="C22" s="7" t="str">
        <f>IF(Segments!C19="","",Segments!C19)</f>
        <v/>
      </c>
      <c r="D22" s="8" t="str">
        <f>IF(Segments!C19="","",Segments!J19)</f>
        <v/>
      </c>
      <c r="E22" s="8" t="str">
        <f t="shared" si="0"/>
        <v/>
      </c>
      <c r="F22" s="7" t="str">
        <f>IF(Segments!C19="","",Segments!L19)</f>
        <v/>
      </c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3" customHeight="1">
      <c r="A23" s="1"/>
      <c r="B23" s="7" t="str">
        <f>IF(Segments!C20="","",Segments!B20)</f>
        <v/>
      </c>
      <c r="C23" s="7" t="str">
        <f>IF(Segments!C20="","",Segments!C20)</f>
        <v/>
      </c>
      <c r="D23" s="8" t="str">
        <f>IF(Segments!C20="","",Segments!J20)</f>
        <v/>
      </c>
      <c r="E23" s="8" t="str">
        <f t="shared" si="0"/>
        <v/>
      </c>
      <c r="F23" s="7" t="str">
        <f>IF(Segments!C20="","",Segments!L20)</f>
        <v/>
      </c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3" customHeight="1">
      <c r="A24" s="1"/>
      <c r="B24" s="7" t="str">
        <f>IF(Segments!C21="","",Segments!B21)</f>
        <v/>
      </c>
      <c r="C24" s="7" t="str">
        <f>IF(Segments!C21="","",Segments!C21)</f>
        <v/>
      </c>
      <c r="D24" s="8" t="str">
        <f>IF(Segments!C21="","",Segments!J21)</f>
        <v/>
      </c>
      <c r="E24" s="8" t="str">
        <f t="shared" si="0"/>
        <v/>
      </c>
      <c r="F24" s="7" t="str">
        <f>IF(Segments!C21="","",Segments!L21)</f>
        <v/>
      </c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3" customHeight="1">
      <c r="A25" s="1"/>
      <c r="B25" s="7" t="str">
        <f>IF(Segments!C22="","",Segments!B22)</f>
        <v/>
      </c>
      <c r="C25" s="7" t="str">
        <f>IF(Segments!C22="","",Segments!C22)</f>
        <v/>
      </c>
      <c r="D25" s="8" t="str">
        <f>IF(Segments!C22="","",Segments!J22)</f>
        <v/>
      </c>
      <c r="E25" s="8" t="str">
        <f t="shared" si="0"/>
        <v/>
      </c>
      <c r="F25" s="7" t="str">
        <f>IF(Segments!C22="","",Segments!L22)</f>
        <v/>
      </c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23" customHeight="1">
      <c r="A26" s="1"/>
      <c r="B26" s="7" t="str">
        <f>IF(Segments!C23="","",Segments!B23)</f>
        <v/>
      </c>
      <c r="C26" s="7" t="str">
        <f>IF(Segments!C23="","",Segments!C23)</f>
        <v/>
      </c>
      <c r="D26" s="8" t="str">
        <f>IF(Segments!C23="","",Segments!J23)</f>
        <v/>
      </c>
      <c r="E26" s="8" t="str">
        <f t="shared" si="0"/>
        <v/>
      </c>
      <c r="F26" s="7" t="str">
        <f>IF(Segments!C23="","",Segments!L23)</f>
        <v/>
      </c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3" customHeight="1">
      <c r="A27" s="1"/>
      <c r="B27" s="7" t="str">
        <f>IF(Segments!C24="","",Segments!B24)</f>
        <v/>
      </c>
      <c r="C27" s="7" t="str">
        <f>IF(Segments!C24="","",Segments!C24)</f>
        <v/>
      </c>
      <c r="D27" s="8" t="str">
        <f>IF(Segments!C24="","",Segments!J24)</f>
        <v/>
      </c>
      <c r="E27" s="8" t="str">
        <f t="shared" si="0"/>
        <v/>
      </c>
      <c r="F27" s="7" t="str">
        <f>IF(Segments!C24="","",Segments!L24)</f>
        <v/>
      </c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3" customHeight="1">
      <c r="A28" s="1"/>
      <c r="B28" s="7" t="str">
        <f>IF(Segments!C25="","",Segments!B25)</f>
        <v/>
      </c>
      <c r="C28" s="7" t="str">
        <f>IF(Segments!C25="","",Segments!C25)</f>
        <v/>
      </c>
      <c r="D28" s="8" t="str">
        <f>IF(Segments!C25="","",Segments!J25)</f>
        <v/>
      </c>
      <c r="E28" s="8" t="str">
        <f t="shared" si="0"/>
        <v/>
      </c>
      <c r="F28" s="7" t="str">
        <f>IF(Segments!C25="","",Segments!L25)</f>
        <v/>
      </c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3" customHeight="1">
      <c r="A29" s="1"/>
      <c r="B29" s="7" t="str">
        <f>IF(Segments!C26="","",Segments!B26)</f>
        <v/>
      </c>
      <c r="C29" s="7" t="str">
        <f>IF(Segments!C26="","",Segments!C26)</f>
        <v/>
      </c>
      <c r="D29" s="8" t="str">
        <f>IF(Segments!C26="","",Segments!J26)</f>
        <v/>
      </c>
      <c r="E29" s="8" t="str">
        <f t="shared" si="0"/>
        <v/>
      </c>
      <c r="F29" s="7" t="str">
        <f>IF(Segments!C26="","",Segments!L26)</f>
        <v/>
      </c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23" customHeight="1">
      <c r="A30" s="1"/>
      <c r="B30" s="7" t="str">
        <f>IF(Segments!C27="","",Segments!B27)</f>
        <v/>
      </c>
      <c r="C30" s="7" t="str">
        <f>IF(Segments!C27="","",Segments!C27)</f>
        <v/>
      </c>
      <c r="D30" s="8" t="str">
        <f>IF(Segments!C27="","",Segments!J27)</f>
        <v/>
      </c>
      <c r="E30" s="8" t="str">
        <f t="shared" si="0"/>
        <v/>
      </c>
      <c r="F30" s="7" t="str">
        <f>IF(Segments!C27="","",Segments!L27)</f>
        <v/>
      </c>
      <c r="G30" s="1"/>
      <c r="H30" s="1" t="s">
        <v>19</v>
      </c>
      <c r="I30" s="1"/>
      <c r="J30" s="1"/>
      <c r="K30" s="1"/>
      <c r="L30" s="1"/>
      <c r="M30" s="1"/>
      <c r="N30" s="1"/>
      <c r="O30" s="1"/>
      <c r="P30" s="1"/>
    </row>
    <row r="31" spans="1:16" ht="23" customHeight="1">
      <c r="A31" s="1"/>
      <c r="B31" s="7" t="str">
        <f>IF(Segments!C28="","",Segments!B28)</f>
        <v/>
      </c>
      <c r="C31" s="7" t="str">
        <f>IF(Segments!C28="","",Segments!C28)</f>
        <v/>
      </c>
      <c r="D31" s="8" t="str">
        <f>IF(Segments!C28="","",Segments!J28)</f>
        <v/>
      </c>
      <c r="E31" s="8" t="str">
        <f t="shared" si="0"/>
        <v/>
      </c>
      <c r="F31" s="7" t="str">
        <f>IF(Segments!C28="","",Segments!L28)</f>
        <v/>
      </c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3" customHeight="1">
      <c r="A32" s="1"/>
      <c r="B32" s="7" t="str">
        <f>IF(Segments!C29="","",Segments!B29)</f>
        <v/>
      </c>
      <c r="C32" s="7" t="str">
        <f>IF(Segments!C29="","",Segments!C29)</f>
        <v/>
      </c>
      <c r="D32" s="8" t="str">
        <f>IF(Segments!C29="","",Segments!J29)</f>
        <v/>
      </c>
      <c r="E32" s="8" t="str">
        <f t="shared" si="0"/>
        <v/>
      </c>
      <c r="F32" s="7" t="str">
        <f>IF(Segments!C29="","",Segments!L29)</f>
        <v/>
      </c>
      <c r="G32" s="1"/>
      <c r="H32" s="9" t="s">
        <v>20</v>
      </c>
      <c r="I32" s="1"/>
      <c r="J32" s="1"/>
      <c r="K32" s="1"/>
      <c r="L32" s="1"/>
      <c r="M32" s="1"/>
      <c r="N32" s="1"/>
      <c r="O32" s="1"/>
      <c r="P32" s="1"/>
    </row>
    <row r="33" spans="1:16" ht="23" customHeight="1">
      <c r="A33" s="1"/>
      <c r="B33" s="7" t="str">
        <f>IF(Segments!C30="","",Segments!B30)</f>
        <v/>
      </c>
      <c r="C33" s="7" t="str">
        <f>IF(Segments!C30="","",Segments!C30)</f>
        <v/>
      </c>
      <c r="D33" s="8" t="str">
        <f>IF(Segments!C30="","",Segments!J30)</f>
        <v/>
      </c>
      <c r="E33" s="8" t="str">
        <f t="shared" si="0"/>
        <v/>
      </c>
      <c r="F33" s="7" t="str">
        <f>IF(Segments!C30="","",Segments!L30)</f>
        <v/>
      </c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3" customHeight="1">
      <c r="A34" s="1"/>
      <c r="B34" s="7" t="str">
        <f>IF(Segments!C31="","",Segments!B31)</f>
        <v/>
      </c>
      <c r="C34" s="7" t="str">
        <f>IF(Segments!C31="","",Segments!C31)</f>
        <v/>
      </c>
      <c r="D34" s="8" t="str">
        <f>IF(Segments!C31="","",Segments!J31)</f>
        <v/>
      </c>
      <c r="E34" s="8" t="str">
        <f t="shared" si="0"/>
        <v/>
      </c>
      <c r="F34" s="7" t="str">
        <f>IF(Segments!C31="","",Segments!L31)</f>
        <v/>
      </c>
      <c r="G34" s="1"/>
      <c r="H34" s="1" t="s">
        <v>21</v>
      </c>
      <c r="I34" s="1"/>
      <c r="J34" s="1"/>
      <c r="K34" s="1"/>
      <c r="L34" s="1"/>
      <c r="M34" s="1"/>
      <c r="N34" s="1"/>
      <c r="O34" s="1"/>
      <c r="P34" s="1"/>
    </row>
    <row r="35" spans="1:16" ht="23" customHeight="1">
      <c r="A35" s="1"/>
      <c r="B35" s="7" t="str">
        <f>IF(Segments!C32="","",Segments!B32)</f>
        <v/>
      </c>
      <c r="C35" s="7" t="str">
        <f>IF(Segments!C32="","",Segments!C32)</f>
        <v/>
      </c>
      <c r="D35" s="8" t="str">
        <f>IF(Segments!C32="","",Segments!J32)</f>
        <v/>
      </c>
      <c r="E35" s="8" t="str">
        <f t="shared" si="0"/>
        <v/>
      </c>
      <c r="F35" s="7" t="str">
        <f>IF(Segments!C32="","",Segments!L32)</f>
        <v/>
      </c>
      <c r="G35" s="1"/>
      <c r="H35" s="1" t="s">
        <v>22</v>
      </c>
      <c r="I35" s="1"/>
      <c r="J35" s="1"/>
      <c r="K35" s="1"/>
      <c r="L35" s="1"/>
      <c r="M35" s="1"/>
      <c r="N35" s="1"/>
      <c r="O35" s="1"/>
      <c r="P35" s="1"/>
    </row>
    <row r="36" spans="1:16" ht="23" customHeight="1">
      <c r="A36" s="1"/>
      <c r="B36" s="7" t="str">
        <f>IF(Segments!C33="","",Segments!B33)</f>
        <v/>
      </c>
      <c r="C36" s="7" t="str">
        <f>IF(Segments!C33="","",Segments!C33)</f>
        <v/>
      </c>
      <c r="D36" s="8" t="str">
        <f>IF(Segments!C33="","",Segments!J33)</f>
        <v/>
      </c>
      <c r="E36" s="8" t="str">
        <f t="shared" si="0"/>
        <v/>
      </c>
      <c r="F36" s="7" t="str">
        <f>IF(Segments!C33="","",Segments!L33)</f>
        <v/>
      </c>
      <c r="G36" s="1"/>
      <c r="H36" s="1" t="s">
        <v>23</v>
      </c>
      <c r="I36" s="1"/>
      <c r="J36" s="1"/>
      <c r="K36" s="1"/>
      <c r="L36" s="1"/>
      <c r="M36" s="1"/>
      <c r="N36" s="1"/>
      <c r="O36" s="1"/>
      <c r="P36" s="1"/>
    </row>
    <row r="37" spans="1:16" ht="23" customHeight="1">
      <c r="A37" s="1"/>
      <c r="B37" s="7" t="str">
        <f>IF(Segments!C34="","",Segments!B34)</f>
        <v/>
      </c>
      <c r="C37" s="7" t="str">
        <f>IF(Segments!C34="","",Segments!C34)</f>
        <v/>
      </c>
      <c r="D37" s="8" t="str">
        <f>IF(Segments!C34="","",Segments!J34)</f>
        <v/>
      </c>
      <c r="E37" s="8" t="str">
        <f t="shared" si="0"/>
        <v/>
      </c>
      <c r="F37" s="7" t="str">
        <f>IF(Segments!C34="","",Segments!L34)</f>
        <v/>
      </c>
      <c r="G37" s="1"/>
      <c r="H37" s="1" t="s">
        <v>24</v>
      </c>
      <c r="I37" s="1"/>
      <c r="J37" s="1"/>
      <c r="K37" s="1"/>
      <c r="L37" s="1"/>
      <c r="M37" s="1"/>
      <c r="N37" s="1"/>
      <c r="O37" s="1"/>
      <c r="P37" s="1"/>
    </row>
    <row r="38" spans="1:16" ht="23" customHeight="1">
      <c r="A38" s="1"/>
      <c r="B38" s="7" t="str">
        <f>IF(Segments!C35="","",Segments!B35)</f>
        <v/>
      </c>
      <c r="C38" s="7" t="str">
        <f>IF(Segments!C35="","",Segments!C35)</f>
        <v/>
      </c>
      <c r="D38" s="8" t="str">
        <f>IF(Segments!C35="","",Segments!J35)</f>
        <v/>
      </c>
      <c r="E38" s="8" t="str">
        <f t="shared" si="0"/>
        <v/>
      </c>
      <c r="F38" s="7" t="str">
        <f>IF(Segments!C35="","",Segments!L35)</f>
        <v/>
      </c>
      <c r="G38" s="1"/>
      <c r="H38" s="1" t="s">
        <v>25</v>
      </c>
      <c r="I38" s="1"/>
      <c r="J38" s="1"/>
      <c r="K38" s="1"/>
      <c r="L38" s="1"/>
      <c r="M38" s="1"/>
      <c r="N38" s="1"/>
      <c r="O38" s="1"/>
      <c r="P38" s="1"/>
    </row>
    <row r="39" spans="1:16" ht="23" customHeight="1">
      <c r="A39" s="1"/>
      <c r="B39" s="7" t="str">
        <f>IF(Segments!C36="","",Segments!B36)</f>
        <v/>
      </c>
      <c r="C39" s="7" t="str">
        <f>IF(Segments!C36="","",Segments!C36)</f>
        <v/>
      </c>
      <c r="D39" s="8" t="str">
        <f>IF(Segments!C36="","",Segments!J36)</f>
        <v/>
      </c>
      <c r="E39" s="8" t="str">
        <f t="shared" si="0"/>
        <v/>
      </c>
      <c r="F39" s="7" t="str">
        <f>IF(Segments!C36="","",Segments!L36)</f>
        <v/>
      </c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3" customHeight="1">
      <c r="A40" s="1"/>
      <c r="B40" s="7" t="str">
        <f>IF(Segments!C37="","",Segments!B37)</f>
        <v/>
      </c>
      <c r="C40" s="7" t="str">
        <f>IF(Segments!C37="","",Segments!C37)</f>
        <v/>
      </c>
      <c r="D40" s="8" t="str">
        <f>IF(Segments!C37="","",Segments!J37)</f>
        <v/>
      </c>
      <c r="E40" s="8" t="str">
        <f t="shared" si="0"/>
        <v/>
      </c>
      <c r="F40" s="7" t="str">
        <f>IF(Segments!C37="","",Segments!L37)</f>
        <v/>
      </c>
      <c r="G40" s="1"/>
      <c r="H40" s="4" t="s">
        <v>26</v>
      </c>
      <c r="I40" s="4"/>
      <c r="J40" s="4"/>
      <c r="K40" s="7"/>
      <c r="L40" s="7"/>
      <c r="M40" s="7"/>
      <c r="N40" s="7"/>
      <c r="O40" s="7"/>
      <c r="P40" s="7"/>
    </row>
    <row r="41" spans="1:16" ht="23" customHeight="1">
      <c r="A41" s="1"/>
      <c r="B41" s="7" t="str">
        <f>IF(Segments!C38="","",Segments!B38)</f>
        <v/>
      </c>
      <c r="C41" s="7" t="str">
        <f>IF(Segments!C38="","",Segments!C38)</f>
        <v/>
      </c>
      <c r="D41" s="8" t="str">
        <f>IF(Segments!C38="","",Segments!J38)</f>
        <v/>
      </c>
      <c r="E41" s="8" t="str">
        <f t="shared" si="0"/>
        <v/>
      </c>
      <c r="F41" s="7" t="str">
        <f>IF(Segments!C38="","",Segments!L38)</f>
        <v/>
      </c>
      <c r="G41" s="1"/>
      <c r="H41" s="1" t="s">
        <v>27</v>
      </c>
      <c r="I41" s="1"/>
      <c r="J41" s="1"/>
      <c r="K41" s="1"/>
      <c r="L41" s="1"/>
      <c r="M41" s="1"/>
      <c r="N41" s="1"/>
      <c r="O41" s="1"/>
      <c r="P41" s="1"/>
    </row>
    <row r="42" spans="1:16" ht="2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23" customHeight="1">
      <c r="A43" s="1"/>
      <c r="B43" s="1"/>
      <c r="C43" s="1"/>
      <c r="D43" s="1"/>
      <c r="E43" s="1"/>
      <c r="F43" s="1"/>
      <c r="G43" s="1"/>
      <c r="H43" s="1" t="s">
        <v>28</v>
      </c>
      <c r="I43" s="1"/>
      <c r="J43" s="1"/>
      <c r="K43" s="1"/>
      <c r="L43" s="1"/>
      <c r="M43" s="1"/>
      <c r="N43" s="1"/>
      <c r="O43" s="1"/>
      <c r="P43" s="1"/>
    </row>
    <row r="44" spans="1:16" ht="23" customHeight="1">
      <c r="A44" s="1"/>
      <c r="B44" s="1"/>
      <c r="C44" s="1"/>
      <c r="D44" s="1"/>
      <c r="E44" s="1"/>
      <c r="F44" s="1"/>
      <c r="G44" s="1"/>
      <c r="H44" s="1" t="s">
        <v>29</v>
      </c>
      <c r="I44" s="1"/>
      <c r="J44" s="1"/>
      <c r="K44" s="1"/>
      <c r="L44" s="1"/>
      <c r="M44" s="1"/>
      <c r="N44" s="1"/>
      <c r="O44" s="1"/>
      <c r="P44" s="1"/>
    </row>
    <row r="45" spans="1:16" ht="23" customHeight="1">
      <c r="A45" s="1"/>
      <c r="B45" s="1"/>
      <c r="C45" s="1"/>
      <c r="D45" s="1"/>
      <c r="E45" s="1"/>
      <c r="F45" s="1"/>
      <c r="G45" s="1"/>
      <c r="H45" s="1" t="s">
        <v>30</v>
      </c>
      <c r="I45" s="1"/>
      <c r="J45" s="1"/>
      <c r="K45" s="1"/>
      <c r="L45" s="1"/>
      <c r="M45" s="1"/>
      <c r="N45" s="1"/>
      <c r="O45" s="1"/>
      <c r="P45" s="1"/>
    </row>
    <row r="46" spans="1:16" ht="23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23" customHeight="1">
      <c r="A47" s="1"/>
      <c r="B47" s="1"/>
      <c r="C47" s="1"/>
      <c r="D47" s="1"/>
      <c r="E47" s="1"/>
      <c r="F47" s="1"/>
      <c r="G47" s="1"/>
      <c r="H47" s="1" t="s">
        <v>31</v>
      </c>
      <c r="I47" s="1"/>
      <c r="J47" s="1"/>
      <c r="K47" s="1"/>
      <c r="L47" s="1"/>
      <c r="M47" s="1"/>
      <c r="N47" s="1"/>
      <c r="O47" s="1"/>
      <c r="P47" s="1"/>
    </row>
    <row r="48" spans="1:16" ht="23" customHeight="1">
      <c r="A48" s="1"/>
      <c r="B48" s="1"/>
      <c r="C48" s="1"/>
      <c r="D48" s="1"/>
      <c r="E48" s="1"/>
      <c r="F48" s="1"/>
      <c r="G48" s="1"/>
      <c r="H48" s="1" t="s">
        <v>32</v>
      </c>
      <c r="I48" s="1"/>
      <c r="J48" s="1"/>
      <c r="K48" s="1"/>
      <c r="L48" s="1"/>
      <c r="M48" s="1"/>
      <c r="N48" s="1"/>
      <c r="O48" s="1"/>
      <c r="P48" s="1"/>
    </row>
    <row r="49" spans="1:16" ht="23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23" customHeight="1">
      <c r="A50" s="1"/>
      <c r="B50" s="1"/>
      <c r="C50" s="1"/>
      <c r="D50" s="1"/>
      <c r="E50" s="1"/>
      <c r="F50" s="1"/>
      <c r="G50" s="1"/>
      <c r="H50" s="1" t="s">
        <v>33</v>
      </c>
      <c r="I50" s="1"/>
      <c r="J50" s="1"/>
      <c r="K50" s="1"/>
      <c r="L50" s="1"/>
      <c r="M50" s="1"/>
      <c r="N50" s="1"/>
      <c r="O50" s="1"/>
      <c r="P50" s="1"/>
    </row>
    <row r="51" spans="1:16" ht="23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23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</sheetData>
  <conditionalFormatting sqref="D12:D41">
    <cfRule type="colorScale" priority="3">
      <colorScale>
        <cfvo type="min"/>
        <cfvo type="percentile" val="50"/>
        <cfvo type="max"/>
        <color rgb="FFF2F5FA"/>
        <color rgb="FFC8BBE3"/>
        <color rgb="FF73518F"/>
      </colorScale>
    </cfRule>
  </conditionalFormatting>
  <conditionalFormatting sqref="F12:F41">
    <cfRule type="expression" dxfId="9" priority="2">
      <formula>AND(F12&lt;&gt;"",F12&lt;&gt;"Ready")</formula>
    </cfRule>
  </conditionalFormatting>
  <conditionalFormatting sqref="L6:L7">
    <cfRule type="cellIs" dxfId="8" priority="1" operator="greaterThan">
      <formula>0</formula>
    </cfRule>
  </conditionalFormatting>
  <dataValidations count="1">
    <dataValidation type="list" sqref="F7" xr:uid="{00000000-0002-0000-0000-000000000000}">
      <formula1>"Planning,Revised,Final"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07BA0"/>
  </sheetPr>
  <dimension ref="A1:L40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D9" sqref="D9"/>
    </sheetView>
  </sheetViews>
  <sheetFormatPr defaultRowHeight="14"/>
  <cols>
    <col min="1" max="1" width="3" customWidth="1"/>
    <col min="2" max="2" width="8" customWidth="1"/>
    <col min="3" max="3" width="25" customWidth="1"/>
    <col min="4" max="4" width="16" customWidth="1"/>
    <col min="5" max="5" width="18" customWidth="1"/>
    <col min="6" max="6" width="28" customWidth="1"/>
    <col min="7" max="7" width="44" customWidth="1"/>
    <col min="8" max="9" width="13" customWidth="1"/>
    <col min="10" max="10" width="14" customWidth="1"/>
    <col min="11" max="11" width="44" customWidth="1"/>
    <col min="12" max="12" width="24" customWidth="1"/>
  </cols>
  <sheetData>
    <row r="1" spans="1:12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>
      <c r="A2" s="1"/>
      <c r="B2" s="2" t="s">
        <v>34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3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3" customHeight="1">
      <c r="A4" s="1"/>
      <c r="B4" s="3" t="s">
        <v>35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3" customHeight="1">
      <c r="A6" s="1"/>
      <c r="B6" s="1" t="s">
        <v>36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23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34" customHeight="1">
      <c r="A8" s="1"/>
      <c r="B8" s="6" t="s">
        <v>37</v>
      </c>
      <c r="C8" s="6" t="s">
        <v>38</v>
      </c>
      <c r="D8" s="6" t="s">
        <v>39</v>
      </c>
      <c r="E8" s="6" t="s">
        <v>40</v>
      </c>
      <c r="F8" s="6" t="s">
        <v>41</v>
      </c>
      <c r="G8" s="6" t="s">
        <v>42</v>
      </c>
      <c r="H8" s="6" t="s">
        <v>43</v>
      </c>
      <c r="I8" s="6" t="s">
        <v>44</v>
      </c>
      <c r="J8" s="6" t="s">
        <v>16</v>
      </c>
      <c r="K8" s="6" t="s">
        <v>45</v>
      </c>
      <c r="L8" s="6" t="s">
        <v>18</v>
      </c>
    </row>
    <row r="9" spans="1:12" ht="45" customHeight="1">
      <c r="A9" s="1"/>
      <c r="B9" s="1">
        <v>1</v>
      </c>
      <c r="C9" s="10" t="inlineStr">
        <is>
          <t>Chamado</t>
        </is>
      </c>
      <c r="D9" s="10" t="inlineStr">
        <is>
          <t>Inicio</t>
        </is>
      </c>
      <c r="E9" s="10" t="inlineStr">
        <is>
          <t>Introduction</t>
        </is>
      </c>
      <c r="F9" s="10" t="inlineStr">
        <is>
          <t>Prontidao conjunta</t>
        </is>
      </c>
      <c r="G9" s="10" t="inlineStr">
        <is>
          <t>Titulo e divindade visual; ambos confirmam.</t>
        </is>
      </c>
      <c r="H9" s="12">
        <f>IF(OR(C9="",L9&lt;&gt;"Ready"),"",SUMIFS('Level Map'!$I$9:$I$308,'Level Map'!$B$9:$B$308,B9,'Level Map'!$H$9:$H$308,"&gt;0"))</f>
        <v>0</v>
      </c>
      <c r="I9" s="13">
        <f>IF(OR(C9="",L9&lt;&gt;"Ready"),"",SUMIFS('Level Map'!$I$9:$I$308,'Level Map'!$B$9:$B$308,B9,'Level Map'!$H$9:$H$308,"&lt;0"))</f>
        <v>0</v>
      </c>
      <c r="J9" s="8">
        <f t="shared" ref="J9:J38" si="0">IF(C9="","",IF(L9="Ready",H9+I9,NA()))</f>
        <v>0</v>
      </c>
      <c r="K9" s="10"/>
      <c r="L9" s="11" t="str">
        <f>IF(C9="","",IF(COUNTIF('Level Map'!$B$9:$B$308,B9)=0,"Add map entries",IF(COUNTIFS('Level Map'!$B$9:$B$308,B9,'Level Map'!$J$9:$J$308,"&lt;&gt;Ready")&gt;0,"Fix map entries","Ready")))</f>
        <v>Ready</v>
      </c>
    </row>
    <row r="10" spans="1:12" ht="45" customHeight="1">
      <c r="A10" s="1"/>
      <c r="B10" s="1">
        <v>2</v>
      </c>
      <c r="C10" s="10" t="inlineStr">
        <is>
          <t>Oficina</t>
        </is>
      </c>
      <c r="D10" s="10" t="inlineStr">
        <is>
          <t>1408 a 1216</t>
        </is>
      </c>
      <c r="E10" s="10" t="inlineStr">
        <is>
          <t>Introduction</t>
        </is>
      </c>
      <c r="F10" s="10" t="inlineStr">
        <is>
          <t>Coletar, construir, saltar</t>
        </is>
      </c>
      <c r="G10" s="10" t="inlineStr">
        <is>
          <t>Aprender uma peca por bloco; terreno seguro.</t>
        </is>
      </c>
      <c r="H10" s="12">
        <f>IF(OR(C10="",L10&lt;&gt;"Ready"),"",SUMIFS('Level Map'!$I$9:$I$308,'Level Map'!$B$9:$B$308,B10,'Level Map'!$H$9:$H$308,"&gt;0"))</f>
        <v>1</v>
      </c>
      <c r="I10" s="13">
        <f>IF(OR(C10="",L10&lt;&gt;"Ready"),"",SUMIFS('Level Map'!$I$9:$I$308,'Level Map'!$B$9:$B$308,B10,'Level Map'!$H$9:$H$308,"&lt;0"))</f>
        <v>-2</v>
      </c>
      <c r="J10" s="8">
        <f t="shared" si="0"/>
        <v>-1</v>
      </c>
      <c r="K10" s="10"/>
      <c r="L10" s="11" t="str">
        <f>IF(C10="","",IF(COUNTIF('Level Map'!$B$9:$B$308,B10)=0,"Add map entries",IF(COUNTIFS('Level Map'!$B$9:$B$308,B10,'Level Map'!$J$9:$J$308,"&lt;&gt;Ready")&gt;0,"Fix map entries","Ready")))</f>
        <v>Ready</v>
      </c>
    </row>
    <row r="11" spans="1:12" ht="45" customHeight="1">
      <c r="A11" s="1"/>
      <c r="B11" s="1">
        <v>3</v>
      </c>
      <c r="C11" s="10" t="inlineStr">
        <is>
          <t>Patrulha</t>
        </is>
      </c>
      <c r="D11" s="10" t="inlineStr">
        <is>
          <t>1216 a 1024</t>
        </is>
      </c>
      <c r="E11" s="10" t="inlineStr">
        <is>
          <t>Challenge</t>
        </is>
      </c>
      <c r="F11" s="10" t="inlineStr">
        <is>
          <t>Subir e evitar patrulha</t>
        </is>
      </c>
      <c r="G11" s="10" t="inlineStr">
        <is>
          <t>Atravesse o encontro movel com recuperacao.</t>
        </is>
      </c>
      <c r="H11" s="12">
        <f>IF(OR(C11="",L11&lt;&gt;"Ready"),"",SUMIFS('Level Map'!$I$9:$I$308,'Level Map'!$B$9:$B$308,B11,'Level Map'!$H$9:$H$308,"&gt;0"))</f>
        <v>3</v>
      </c>
      <c r="I11" s="13">
        <f>IF(OR(C11="",L11&lt;&gt;"Ready"),"",SUMIFS('Level Map'!$I$9:$I$308,'Level Map'!$B$9:$B$308,B11,'Level Map'!$H$9:$H$308,"&lt;0"))</f>
        <v>-2</v>
      </c>
      <c r="J11" s="8">
        <f t="shared" si="0"/>
        <v>1</v>
      </c>
      <c r="K11" s="10"/>
      <c r="L11" s="11" t="str">
        <f>IF(C11="","",IF(COUNTIF('Level Map'!$B$9:$B$308,B11)=0,"Add map entries",IF(COUNTIFS('Level Map'!$B$9:$B$308,B11,'Level Map'!$J$9:$J$308,"&lt;&gt;Ready")&gt;0,"Fix map entries","Ready")))</f>
        <v>Ready</v>
      </c>
    </row>
    <row r="12" spans="1:12" ht="45" customHeight="1">
      <c r="A12" s="1"/>
      <c r="B12" s="1">
        <v>4</v>
      </c>
      <c r="C12" s="10" t="inlineStr">
        <is>
          <t>Reconstrucao</t>
        </is>
      </c>
      <c r="D12" s="10" t="inlineStr">
        <is>
          <t>1024 a 640</t>
        </is>
      </c>
      <c r="E12" s="10" t="inlineStr">
        <is>
          <t>Reinforcement</t>
        </is>
      </c>
      <c r="F12" s="10" t="inlineStr">
        <is>
          <t>Subida e recuperacao</t>
        </is>
      </c>
      <c r="G12" s="10" t="inlineStr">
        <is>
          <t>Duas secoes repetem construcao e uso da torre comum.</t>
        </is>
      </c>
      <c r="H12" s="12">
        <f>IF(OR(C12="",L12&lt;&gt;"Ready"),"",SUMIFS('Level Map'!$I$9:$I$308,'Level Map'!$B$9:$B$308,B12,'Level Map'!$H$9:$H$308,"&gt;0"))</f>
        <v>2</v>
      </c>
      <c r="I12" s="13">
        <f>IF(OR(C12="",L12&lt;&gt;"Ready"),"",SUMIFS('Level Map'!$I$9:$I$308,'Level Map'!$B$9:$B$308,B12,'Level Map'!$H$9:$H$308,"&lt;0"))</f>
        <v>-3</v>
      </c>
      <c r="J12" s="8">
        <f t="shared" si="0"/>
        <v>-1</v>
      </c>
      <c r="K12" s="10"/>
      <c r="L12" s="11" t="str">
        <f>IF(C12="","",IF(COUNTIF('Level Map'!$B$9:$B$308,B12)=0,"Add map entries",IF(COUNTIFS('Level Map'!$B$9:$B$308,B12,'Level Map'!$J$9:$J$308,"&lt;&gt;Ready")&gt;0,"Fix map entries","Ready")))</f>
        <v>Ready</v>
      </c>
    </row>
    <row r="13" spans="1:12" ht="45" customHeight="1">
      <c r="A13" s="1"/>
      <c r="B13" s="1">
        <v>5</v>
      </c>
      <c r="C13" s="10" t="inlineStr">
        <is>
          <t>Topo</t>
        </is>
      </c>
      <c r="D13" s="10" t="inlineStr">
        <is>
          <t>640 a 448</t>
        </is>
      </c>
      <c r="E13" s="10" t="inlineStr">
        <is>
          <t>Challenge</t>
        </is>
      </c>
      <c r="F13" s="10" t="inlineStr">
        <is>
          <t>Chegada dos dois</t>
        </is>
      </c>
      <c r="G13" s="10" t="inlineStr">
        <is>
          <t>Objetivo so conclui quando ambos estao no topo.</t>
        </is>
      </c>
      <c r="H13" s="12">
        <f>IF(OR(C13="",L13&lt;&gt;"Ready"),"",SUMIFS('Level Map'!$I$9:$I$308,'Level Map'!$B$9:$B$308,B13,'Level Map'!$H$9:$H$308,"&gt;0"))</f>
        <v>1</v>
      </c>
      <c r="I13" s="13">
        <f>IF(OR(C13="",L13&lt;&gt;"Ready"),"",SUMIFS('Level Map'!$I$9:$I$308,'Level Map'!$B$9:$B$308,B13,'Level Map'!$H$9:$H$308,"&lt;0"))</f>
        <v>-2</v>
      </c>
      <c r="J13" s="8">
        <f t="shared" si="0"/>
        <v>-1</v>
      </c>
      <c r="K13" s="10"/>
      <c r="L13" s="11" t="str">
        <f>IF(C13="","",IF(COUNTIF('Level Map'!$B$9:$B$308,B13)=0,"Add map entries",IF(COUNTIFS('Level Map'!$B$9:$B$308,B13,'Level Map'!$J$9:$J$308,"&lt;&gt;Ready")&gt;0,"Fix map entries","Ready")))</f>
        <v>Ready</v>
      </c>
    </row>
    <row r="14" spans="1:12" ht="45" customHeight="1">
      <c r="A14" s="1"/>
      <c r="B14" s="1">
        <v>6</v>
      </c>
      <c r="C14" s="10" t="inlineStr">
        <is>
          <t>Mundo real</t>
        </is>
      </c>
      <c r="D14" s="10" t="inlineStr">
        <is>
          <t>Final</t>
        </is>
      </c>
      <c r="E14" s="10" t="inlineStr">
        <is>
          <t>Reinforcement</t>
        </is>
      </c>
      <c r="F14" s="10" t="inlineStr">
        <is>
          <t>Revelacao e reinicio</t>
        </is>
      </c>
      <c r="G14" s="10" t="inlineStr">
        <is>
          <t>A torre fica verde; seis avatares observam o jogo num monitor.</t>
        </is>
      </c>
      <c r="H14" s="12">
        <f>IF(OR(C14="",L14&lt;&gt;"Ready"),"",SUMIFS('Level Map'!$I$9:$I$308,'Level Map'!$B$9:$B$308,B14,'Level Map'!$H$9:$H$308,"&gt;0"))</f>
        <v>0</v>
      </c>
      <c r="I14" s="13">
        <f>IF(OR(C14="",L14&lt;&gt;"Ready"),"",SUMIFS('Level Map'!$I$9:$I$308,'Level Map'!$B$9:$B$308,B14,'Level Map'!$H$9:$H$308,"&lt;0"))</f>
        <v>0</v>
      </c>
      <c r="J14" s="8">
        <f t="shared" si="0"/>
        <v>0</v>
      </c>
      <c r="K14" s="10"/>
      <c r="L14" s="11" t="str">
        <f>IF(C14="","",IF(COUNTIF('Level Map'!$B$9:$B$308,B14)=0,"Add map entries",IF(COUNTIFS('Level Map'!$B$9:$B$308,B14,'Level Map'!$J$9:$J$308,"&lt;&gt;Ready")&gt;0,"Fix map entries","Ready")))</f>
        <v>Ready</v>
      </c>
    </row>
    <row r="15" spans="1:12" ht="45" customHeight="1">
      <c r="A15" s="1"/>
      <c r="B15" s="1">
        <v>7</v>
      </c>
      <c r="C15" s="10"/>
      <c r="D15" s="10"/>
      <c r="E15" s="10"/>
      <c r="F15" s="10"/>
      <c r="G15" s="10"/>
      <c r="H15" s="12" t="str">
        <f>IF(OR(C15="",L15&lt;&gt;"Ready"),"",SUMIFS('Level Map'!$I$9:$I$308,'Level Map'!$B$9:$B$308,B15,'Level Map'!$H$9:$H$308,"&gt;0"))</f>
        <v/>
      </c>
      <c r="I15" s="13" t="str">
        <f>IF(OR(C15="",L15&lt;&gt;"Ready"),"",SUMIFS('Level Map'!$I$9:$I$308,'Level Map'!$B$9:$B$308,B15,'Level Map'!$H$9:$H$308,"&lt;0"))</f>
        <v/>
      </c>
      <c r="J15" s="8" t="str">
        <f t="shared" si="0"/>
        <v/>
      </c>
      <c r="K15" s="10"/>
      <c r="L15" s="11" t="str">
        <f>IF(C15="","",IF(COUNTIF('Level Map'!$B$9:$B$308,B15)=0,"Add map entries",IF(COUNTIFS('Level Map'!$B$9:$B$308,B15,'Level Map'!$J$9:$J$308,"&lt;&gt;Ready")&gt;0,"Fix map entries","Ready")))</f>
        <v/>
      </c>
    </row>
    <row r="16" spans="1:12" ht="45" customHeight="1">
      <c r="A16" s="1"/>
      <c r="B16" s="1">
        <v>8</v>
      </c>
      <c r="C16" s="10"/>
      <c r="D16" s="10"/>
      <c r="E16" s="10"/>
      <c r="F16" s="10"/>
      <c r="G16" s="10"/>
      <c r="H16" s="12" t="str">
        <f>IF(OR(C16="",L16&lt;&gt;"Ready"),"",SUMIFS('Level Map'!$I$9:$I$308,'Level Map'!$B$9:$B$308,B16,'Level Map'!$H$9:$H$308,"&gt;0"))</f>
        <v/>
      </c>
      <c r="I16" s="13" t="str">
        <f>IF(OR(C16="",L16&lt;&gt;"Ready"),"",SUMIFS('Level Map'!$I$9:$I$308,'Level Map'!$B$9:$B$308,B16,'Level Map'!$H$9:$H$308,"&lt;0"))</f>
        <v/>
      </c>
      <c r="J16" s="8" t="str">
        <f t="shared" si="0"/>
        <v/>
      </c>
      <c r="K16" s="10"/>
      <c r="L16" s="11" t="str">
        <f>IF(C16="","",IF(COUNTIF('Level Map'!$B$9:$B$308,B16)=0,"Add map entries",IF(COUNTIFS('Level Map'!$B$9:$B$308,B16,'Level Map'!$J$9:$J$308,"&lt;&gt;Ready")&gt;0,"Fix map entries","Ready")))</f>
        <v/>
      </c>
    </row>
    <row r="17" spans="1:12" ht="45" customHeight="1">
      <c r="A17" s="1"/>
      <c r="B17" s="1">
        <v>9</v>
      </c>
      <c r="C17" s="10"/>
      <c r="D17" s="10"/>
      <c r="E17" s="10"/>
      <c r="F17" s="10"/>
      <c r="G17" s="10"/>
      <c r="H17" s="12" t="str">
        <f>IF(OR(C17="",L17&lt;&gt;"Ready"),"",SUMIFS('Level Map'!$I$9:$I$308,'Level Map'!$B$9:$B$308,B17,'Level Map'!$H$9:$H$308,"&gt;0"))</f>
        <v/>
      </c>
      <c r="I17" s="13" t="str">
        <f>IF(OR(C17="",L17&lt;&gt;"Ready"),"",SUMIFS('Level Map'!$I$9:$I$308,'Level Map'!$B$9:$B$308,B17,'Level Map'!$H$9:$H$308,"&lt;0"))</f>
        <v/>
      </c>
      <c r="J17" s="8" t="str">
        <f t="shared" si="0"/>
        <v/>
      </c>
      <c r="K17" s="10"/>
      <c r="L17" s="11" t="str">
        <f>IF(C17="","",IF(COUNTIF('Level Map'!$B$9:$B$308,B17)=0,"Add map entries",IF(COUNTIFS('Level Map'!$B$9:$B$308,B17,'Level Map'!$J$9:$J$308,"&lt;&gt;Ready")&gt;0,"Fix map entries","Ready")))</f>
        <v/>
      </c>
    </row>
    <row r="18" spans="1:12" ht="45" customHeight="1">
      <c r="A18" s="1"/>
      <c r="B18" s="1">
        <v>10</v>
      </c>
      <c r="C18" s="10"/>
      <c r="D18" s="10"/>
      <c r="E18" s="10"/>
      <c r="F18" s="10"/>
      <c r="G18" s="10"/>
      <c r="H18" s="12" t="str">
        <f>IF(OR(C18="",L18&lt;&gt;"Ready"),"",SUMIFS('Level Map'!$I$9:$I$308,'Level Map'!$B$9:$B$308,B18,'Level Map'!$H$9:$H$308,"&gt;0"))</f>
        <v/>
      </c>
      <c r="I18" s="13" t="str">
        <f>IF(OR(C18="",L18&lt;&gt;"Ready"),"",SUMIFS('Level Map'!$I$9:$I$308,'Level Map'!$B$9:$B$308,B18,'Level Map'!$H$9:$H$308,"&lt;0"))</f>
        <v/>
      </c>
      <c r="J18" s="8" t="str">
        <f t="shared" si="0"/>
        <v/>
      </c>
      <c r="K18" s="10"/>
      <c r="L18" s="11" t="str">
        <f>IF(C18="","",IF(COUNTIF('Level Map'!$B$9:$B$308,B18)=0,"Add map entries",IF(COUNTIFS('Level Map'!$B$9:$B$308,B18,'Level Map'!$J$9:$J$308,"&lt;&gt;Ready")&gt;0,"Fix map entries","Ready")))</f>
        <v/>
      </c>
    </row>
    <row r="19" spans="1:12" ht="45" customHeight="1">
      <c r="A19" s="1"/>
      <c r="B19" s="1">
        <v>11</v>
      </c>
      <c r="C19" s="10"/>
      <c r="D19" s="10"/>
      <c r="E19" s="10"/>
      <c r="F19" s="10"/>
      <c r="G19" s="10"/>
      <c r="H19" s="12" t="str">
        <f>IF(OR(C19="",L19&lt;&gt;"Ready"),"",SUMIFS('Level Map'!$I$9:$I$308,'Level Map'!$B$9:$B$308,B19,'Level Map'!$H$9:$H$308,"&gt;0"))</f>
        <v/>
      </c>
      <c r="I19" s="13" t="str">
        <f>IF(OR(C19="",L19&lt;&gt;"Ready"),"",SUMIFS('Level Map'!$I$9:$I$308,'Level Map'!$B$9:$B$308,B19,'Level Map'!$H$9:$H$308,"&lt;0"))</f>
        <v/>
      </c>
      <c r="J19" s="8" t="str">
        <f t="shared" si="0"/>
        <v/>
      </c>
      <c r="K19" s="10"/>
      <c r="L19" s="11" t="str">
        <f>IF(C19="","",IF(COUNTIF('Level Map'!$B$9:$B$308,B19)=0,"Add map entries",IF(COUNTIFS('Level Map'!$B$9:$B$308,B19,'Level Map'!$J$9:$J$308,"&lt;&gt;Ready")&gt;0,"Fix map entries","Ready")))</f>
        <v/>
      </c>
    </row>
    <row r="20" spans="1:12" ht="45" customHeight="1">
      <c r="A20" s="1"/>
      <c r="B20" s="1">
        <v>12</v>
      </c>
      <c r="C20" s="10"/>
      <c r="D20" s="10"/>
      <c r="E20" s="10"/>
      <c r="F20" s="10"/>
      <c r="G20" s="10"/>
      <c r="H20" s="12" t="str">
        <f>IF(OR(C20="",L20&lt;&gt;"Ready"),"",SUMIFS('Level Map'!$I$9:$I$308,'Level Map'!$B$9:$B$308,B20,'Level Map'!$H$9:$H$308,"&gt;0"))</f>
        <v/>
      </c>
      <c r="I20" s="13" t="str">
        <f>IF(OR(C20="",L20&lt;&gt;"Ready"),"",SUMIFS('Level Map'!$I$9:$I$308,'Level Map'!$B$9:$B$308,B20,'Level Map'!$H$9:$H$308,"&lt;0"))</f>
        <v/>
      </c>
      <c r="J20" s="8" t="str">
        <f t="shared" si="0"/>
        <v/>
      </c>
      <c r="K20" s="10"/>
      <c r="L20" s="11" t="str">
        <f>IF(C20="","",IF(COUNTIF('Level Map'!$B$9:$B$308,B20)=0,"Add map entries",IF(COUNTIFS('Level Map'!$B$9:$B$308,B20,'Level Map'!$J$9:$J$308,"&lt;&gt;Ready")&gt;0,"Fix map entries","Ready")))</f>
        <v/>
      </c>
    </row>
    <row r="21" spans="1:12" ht="45" customHeight="1">
      <c r="A21" s="1"/>
      <c r="B21" s="1">
        <v>13</v>
      </c>
      <c r="C21" s="10"/>
      <c r="D21" s="10"/>
      <c r="E21" s="10"/>
      <c r="F21" s="10"/>
      <c r="G21" s="10"/>
      <c r="H21" s="12" t="str">
        <f>IF(OR(C21="",L21&lt;&gt;"Ready"),"",SUMIFS('Level Map'!$I$9:$I$308,'Level Map'!$B$9:$B$308,B21,'Level Map'!$H$9:$H$308,"&gt;0"))</f>
        <v/>
      </c>
      <c r="I21" s="13" t="str">
        <f>IF(OR(C21="",L21&lt;&gt;"Ready"),"",SUMIFS('Level Map'!$I$9:$I$308,'Level Map'!$B$9:$B$308,B21,'Level Map'!$H$9:$H$308,"&lt;0"))</f>
        <v/>
      </c>
      <c r="J21" s="8" t="str">
        <f t="shared" si="0"/>
        <v/>
      </c>
      <c r="K21" s="10"/>
      <c r="L21" s="11" t="str">
        <f>IF(C21="","",IF(COUNTIF('Level Map'!$B$9:$B$308,B21)=0,"Add map entries",IF(COUNTIFS('Level Map'!$B$9:$B$308,B21,'Level Map'!$J$9:$J$308,"&lt;&gt;Ready")&gt;0,"Fix map entries","Ready")))</f>
        <v/>
      </c>
    </row>
    <row r="22" spans="1:12" ht="45" customHeight="1">
      <c r="A22" s="1"/>
      <c r="B22" s="1">
        <v>14</v>
      </c>
      <c r="C22" s="10"/>
      <c r="D22" s="10"/>
      <c r="E22" s="10"/>
      <c r="F22" s="10"/>
      <c r="G22" s="10"/>
      <c r="H22" s="12" t="str">
        <f>IF(OR(C22="",L22&lt;&gt;"Ready"),"",SUMIFS('Level Map'!$I$9:$I$308,'Level Map'!$B$9:$B$308,B22,'Level Map'!$H$9:$H$308,"&gt;0"))</f>
        <v/>
      </c>
      <c r="I22" s="13" t="str">
        <f>IF(OR(C22="",L22&lt;&gt;"Ready"),"",SUMIFS('Level Map'!$I$9:$I$308,'Level Map'!$B$9:$B$308,B22,'Level Map'!$H$9:$H$308,"&lt;0"))</f>
        <v/>
      </c>
      <c r="J22" s="8" t="str">
        <f t="shared" si="0"/>
        <v/>
      </c>
      <c r="K22" s="10"/>
      <c r="L22" s="11" t="str">
        <f>IF(C22="","",IF(COUNTIF('Level Map'!$B$9:$B$308,B22)=0,"Add map entries",IF(COUNTIFS('Level Map'!$B$9:$B$308,B22,'Level Map'!$J$9:$J$308,"&lt;&gt;Ready")&gt;0,"Fix map entries","Ready")))</f>
        <v/>
      </c>
    </row>
    <row r="23" spans="1:12" ht="45" customHeight="1">
      <c r="A23" s="1"/>
      <c r="B23" s="1">
        <v>15</v>
      </c>
      <c r="C23" s="10"/>
      <c r="D23" s="10"/>
      <c r="E23" s="10"/>
      <c r="F23" s="10"/>
      <c r="G23" s="10"/>
      <c r="H23" s="12" t="str">
        <f>IF(OR(C23="",L23&lt;&gt;"Ready"),"",SUMIFS('Level Map'!$I$9:$I$308,'Level Map'!$B$9:$B$308,B23,'Level Map'!$H$9:$H$308,"&gt;0"))</f>
        <v/>
      </c>
      <c r="I23" s="13" t="str">
        <f>IF(OR(C23="",L23&lt;&gt;"Ready"),"",SUMIFS('Level Map'!$I$9:$I$308,'Level Map'!$B$9:$B$308,B23,'Level Map'!$H$9:$H$308,"&lt;0"))</f>
        <v/>
      </c>
      <c r="J23" s="8" t="str">
        <f t="shared" si="0"/>
        <v/>
      </c>
      <c r="K23" s="10"/>
      <c r="L23" s="11" t="str">
        <f>IF(C23="","",IF(COUNTIF('Level Map'!$B$9:$B$308,B23)=0,"Add map entries",IF(COUNTIFS('Level Map'!$B$9:$B$308,B23,'Level Map'!$J$9:$J$308,"&lt;&gt;Ready")&gt;0,"Fix map entries","Ready")))</f>
        <v/>
      </c>
    </row>
    <row r="24" spans="1:12" ht="45" customHeight="1">
      <c r="A24" s="1"/>
      <c r="B24" s="1">
        <v>16</v>
      </c>
      <c r="C24" s="10"/>
      <c r="D24" s="10"/>
      <c r="E24" s="10"/>
      <c r="F24" s="10"/>
      <c r="G24" s="10"/>
      <c r="H24" s="12" t="str">
        <f>IF(OR(C24="",L24&lt;&gt;"Ready"),"",SUMIFS('Level Map'!$I$9:$I$308,'Level Map'!$B$9:$B$308,B24,'Level Map'!$H$9:$H$308,"&gt;0"))</f>
        <v/>
      </c>
      <c r="I24" s="13" t="str">
        <f>IF(OR(C24="",L24&lt;&gt;"Ready"),"",SUMIFS('Level Map'!$I$9:$I$308,'Level Map'!$B$9:$B$308,B24,'Level Map'!$H$9:$H$308,"&lt;0"))</f>
        <v/>
      </c>
      <c r="J24" s="8" t="str">
        <f t="shared" si="0"/>
        <v/>
      </c>
      <c r="K24" s="10"/>
      <c r="L24" s="11" t="str">
        <f>IF(C24="","",IF(COUNTIF('Level Map'!$B$9:$B$308,B24)=0,"Add map entries",IF(COUNTIFS('Level Map'!$B$9:$B$308,B24,'Level Map'!$J$9:$J$308,"&lt;&gt;Ready")&gt;0,"Fix map entries","Ready")))</f>
        <v/>
      </c>
    </row>
    <row r="25" spans="1:12" ht="45" customHeight="1">
      <c r="A25" s="1"/>
      <c r="B25" s="1">
        <v>17</v>
      </c>
      <c r="C25" s="10"/>
      <c r="D25" s="10"/>
      <c r="E25" s="10"/>
      <c r="F25" s="10"/>
      <c r="G25" s="10"/>
      <c r="H25" s="12" t="str">
        <f>IF(OR(C25="",L25&lt;&gt;"Ready"),"",SUMIFS('Level Map'!$I$9:$I$308,'Level Map'!$B$9:$B$308,B25,'Level Map'!$H$9:$H$308,"&gt;0"))</f>
        <v/>
      </c>
      <c r="I25" s="13" t="str">
        <f>IF(OR(C25="",L25&lt;&gt;"Ready"),"",SUMIFS('Level Map'!$I$9:$I$308,'Level Map'!$B$9:$B$308,B25,'Level Map'!$H$9:$H$308,"&lt;0"))</f>
        <v/>
      </c>
      <c r="J25" s="8" t="str">
        <f t="shared" si="0"/>
        <v/>
      </c>
      <c r="K25" s="10"/>
      <c r="L25" s="11" t="str">
        <f>IF(C25="","",IF(COUNTIF('Level Map'!$B$9:$B$308,B25)=0,"Add map entries",IF(COUNTIFS('Level Map'!$B$9:$B$308,B25,'Level Map'!$J$9:$J$308,"&lt;&gt;Ready")&gt;0,"Fix map entries","Ready")))</f>
        <v/>
      </c>
    </row>
    <row r="26" spans="1:12" ht="45" customHeight="1">
      <c r="A26" s="1"/>
      <c r="B26" s="1">
        <v>18</v>
      </c>
      <c r="C26" s="10"/>
      <c r="D26" s="10"/>
      <c r="E26" s="10"/>
      <c r="F26" s="10"/>
      <c r="G26" s="10"/>
      <c r="H26" s="12" t="str">
        <f>IF(OR(C26="",L26&lt;&gt;"Ready"),"",SUMIFS('Level Map'!$I$9:$I$308,'Level Map'!$B$9:$B$308,B26,'Level Map'!$H$9:$H$308,"&gt;0"))</f>
        <v/>
      </c>
      <c r="I26" s="13" t="str">
        <f>IF(OR(C26="",L26&lt;&gt;"Ready"),"",SUMIFS('Level Map'!$I$9:$I$308,'Level Map'!$B$9:$B$308,B26,'Level Map'!$H$9:$H$308,"&lt;0"))</f>
        <v/>
      </c>
      <c r="J26" s="8" t="str">
        <f t="shared" si="0"/>
        <v/>
      </c>
      <c r="K26" s="10"/>
      <c r="L26" s="11" t="str">
        <f>IF(C26="","",IF(COUNTIF('Level Map'!$B$9:$B$308,B26)=0,"Add map entries",IF(COUNTIFS('Level Map'!$B$9:$B$308,B26,'Level Map'!$J$9:$J$308,"&lt;&gt;Ready")&gt;0,"Fix map entries","Ready")))</f>
        <v/>
      </c>
    </row>
    <row r="27" spans="1:12" ht="45" customHeight="1">
      <c r="A27" s="1"/>
      <c r="B27" s="1">
        <v>19</v>
      </c>
      <c r="C27" s="10"/>
      <c r="D27" s="10"/>
      <c r="E27" s="10"/>
      <c r="F27" s="10"/>
      <c r="G27" s="10"/>
      <c r="H27" s="12" t="str">
        <f>IF(OR(C27="",L27&lt;&gt;"Ready"),"",SUMIFS('Level Map'!$I$9:$I$308,'Level Map'!$B$9:$B$308,B27,'Level Map'!$H$9:$H$308,"&gt;0"))</f>
        <v/>
      </c>
      <c r="I27" s="13" t="str">
        <f>IF(OR(C27="",L27&lt;&gt;"Ready"),"",SUMIFS('Level Map'!$I$9:$I$308,'Level Map'!$B$9:$B$308,B27,'Level Map'!$H$9:$H$308,"&lt;0"))</f>
        <v/>
      </c>
      <c r="J27" s="8" t="str">
        <f t="shared" si="0"/>
        <v/>
      </c>
      <c r="K27" s="10"/>
      <c r="L27" s="11" t="str">
        <f>IF(C27="","",IF(COUNTIF('Level Map'!$B$9:$B$308,B27)=0,"Add map entries",IF(COUNTIFS('Level Map'!$B$9:$B$308,B27,'Level Map'!$J$9:$J$308,"&lt;&gt;Ready")&gt;0,"Fix map entries","Ready")))</f>
        <v/>
      </c>
    </row>
    <row r="28" spans="1:12" ht="45" customHeight="1">
      <c r="A28" s="1"/>
      <c r="B28" s="1">
        <v>20</v>
      </c>
      <c r="C28" s="10"/>
      <c r="D28" s="10"/>
      <c r="E28" s="10"/>
      <c r="F28" s="10"/>
      <c r="G28" s="10"/>
      <c r="H28" s="12" t="str">
        <f>IF(OR(C28="",L28&lt;&gt;"Ready"),"",SUMIFS('Level Map'!$I$9:$I$308,'Level Map'!$B$9:$B$308,B28,'Level Map'!$H$9:$H$308,"&gt;0"))</f>
        <v/>
      </c>
      <c r="I28" s="13" t="str">
        <f>IF(OR(C28="",L28&lt;&gt;"Ready"),"",SUMIFS('Level Map'!$I$9:$I$308,'Level Map'!$B$9:$B$308,B28,'Level Map'!$H$9:$H$308,"&lt;0"))</f>
        <v/>
      </c>
      <c r="J28" s="8" t="str">
        <f t="shared" si="0"/>
        <v/>
      </c>
      <c r="K28" s="10"/>
      <c r="L28" s="11" t="str">
        <f>IF(C28="","",IF(COUNTIF('Level Map'!$B$9:$B$308,B28)=0,"Add map entries",IF(COUNTIFS('Level Map'!$B$9:$B$308,B28,'Level Map'!$J$9:$J$308,"&lt;&gt;Ready")&gt;0,"Fix map entries","Ready")))</f>
        <v/>
      </c>
    </row>
    <row r="29" spans="1:12" ht="45" customHeight="1">
      <c r="A29" s="1"/>
      <c r="B29" s="1">
        <v>21</v>
      </c>
      <c r="C29" s="10"/>
      <c r="D29" s="10"/>
      <c r="E29" s="10"/>
      <c r="F29" s="10"/>
      <c r="G29" s="10"/>
      <c r="H29" s="12" t="str">
        <f>IF(OR(C29="",L29&lt;&gt;"Ready"),"",SUMIFS('Level Map'!$I$9:$I$308,'Level Map'!$B$9:$B$308,B29,'Level Map'!$H$9:$H$308,"&gt;0"))</f>
        <v/>
      </c>
      <c r="I29" s="13" t="str">
        <f>IF(OR(C29="",L29&lt;&gt;"Ready"),"",SUMIFS('Level Map'!$I$9:$I$308,'Level Map'!$B$9:$B$308,B29,'Level Map'!$H$9:$H$308,"&lt;0"))</f>
        <v/>
      </c>
      <c r="J29" s="8" t="str">
        <f t="shared" si="0"/>
        <v/>
      </c>
      <c r="K29" s="10"/>
      <c r="L29" s="11" t="str">
        <f>IF(C29="","",IF(COUNTIF('Level Map'!$B$9:$B$308,B29)=0,"Add map entries",IF(COUNTIFS('Level Map'!$B$9:$B$308,B29,'Level Map'!$J$9:$J$308,"&lt;&gt;Ready")&gt;0,"Fix map entries","Ready")))</f>
        <v/>
      </c>
    </row>
    <row r="30" spans="1:12" ht="45" customHeight="1">
      <c r="A30" s="1"/>
      <c r="B30" s="1">
        <v>22</v>
      </c>
      <c r="C30" s="10"/>
      <c r="D30" s="10"/>
      <c r="E30" s="10"/>
      <c r="F30" s="10"/>
      <c r="G30" s="10"/>
      <c r="H30" s="12" t="str">
        <f>IF(OR(C30="",L30&lt;&gt;"Ready"),"",SUMIFS('Level Map'!$I$9:$I$308,'Level Map'!$B$9:$B$308,B30,'Level Map'!$H$9:$H$308,"&gt;0"))</f>
        <v/>
      </c>
      <c r="I30" s="13" t="str">
        <f>IF(OR(C30="",L30&lt;&gt;"Ready"),"",SUMIFS('Level Map'!$I$9:$I$308,'Level Map'!$B$9:$B$308,B30,'Level Map'!$H$9:$H$308,"&lt;0"))</f>
        <v/>
      </c>
      <c r="J30" s="8" t="str">
        <f t="shared" si="0"/>
        <v/>
      </c>
      <c r="K30" s="10"/>
      <c r="L30" s="11" t="str">
        <f>IF(C30="","",IF(COUNTIF('Level Map'!$B$9:$B$308,B30)=0,"Add map entries",IF(COUNTIFS('Level Map'!$B$9:$B$308,B30,'Level Map'!$J$9:$J$308,"&lt;&gt;Ready")&gt;0,"Fix map entries","Ready")))</f>
        <v/>
      </c>
    </row>
    <row r="31" spans="1:12" ht="45" customHeight="1">
      <c r="A31" s="1"/>
      <c r="B31" s="1">
        <v>23</v>
      </c>
      <c r="C31" s="10"/>
      <c r="D31" s="10"/>
      <c r="E31" s="10"/>
      <c r="F31" s="10"/>
      <c r="G31" s="10"/>
      <c r="H31" s="12" t="str">
        <f>IF(OR(C31="",L31&lt;&gt;"Ready"),"",SUMIFS('Level Map'!$I$9:$I$308,'Level Map'!$B$9:$B$308,B31,'Level Map'!$H$9:$H$308,"&gt;0"))</f>
        <v/>
      </c>
      <c r="I31" s="13" t="str">
        <f>IF(OR(C31="",L31&lt;&gt;"Ready"),"",SUMIFS('Level Map'!$I$9:$I$308,'Level Map'!$B$9:$B$308,B31,'Level Map'!$H$9:$H$308,"&lt;0"))</f>
        <v/>
      </c>
      <c r="J31" s="8" t="str">
        <f t="shared" si="0"/>
        <v/>
      </c>
      <c r="K31" s="10"/>
      <c r="L31" s="11" t="str">
        <f>IF(C31="","",IF(COUNTIF('Level Map'!$B$9:$B$308,B31)=0,"Add map entries",IF(COUNTIFS('Level Map'!$B$9:$B$308,B31,'Level Map'!$J$9:$J$308,"&lt;&gt;Ready")&gt;0,"Fix map entries","Ready")))</f>
        <v/>
      </c>
    </row>
    <row r="32" spans="1:12" ht="45" customHeight="1">
      <c r="A32" s="1"/>
      <c r="B32" s="1">
        <v>24</v>
      </c>
      <c r="C32" s="10"/>
      <c r="D32" s="10"/>
      <c r="E32" s="10"/>
      <c r="F32" s="10"/>
      <c r="G32" s="10"/>
      <c r="H32" s="12" t="str">
        <f>IF(OR(C32="",L32&lt;&gt;"Ready"),"",SUMIFS('Level Map'!$I$9:$I$308,'Level Map'!$B$9:$B$308,B32,'Level Map'!$H$9:$H$308,"&gt;0"))</f>
        <v/>
      </c>
      <c r="I32" s="13" t="str">
        <f>IF(OR(C32="",L32&lt;&gt;"Ready"),"",SUMIFS('Level Map'!$I$9:$I$308,'Level Map'!$B$9:$B$308,B32,'Level Map'!$H$9:$H$308,"&lt;0"))</f>
        <v/>
      </c>
      <c r="J32" s="8" t="str">
        <f t="shared" si="0"/>
        <v/>
      </c>
      <c r="K32" s="10"/>
      <c r="L32" s="11" t="str">
        <f>IF(C32="","",IF(COUNTIF('Level Map'!$B$9:$B$308,B32)=0,"Add map entries",IF(COUNTIFS('Level Map'!$B$9:$B$308,B32,'Level Map'!$J$9:$J$308,"&lt;&gt;Ready")&gt;0,"Fix map entries","Ready")))</f>
        <v/>
      </c>
    </row>
    <row r="33" spans="1:12" ht="45" customHeight="1">
      <c r="A33" s="1"/>
      <c r="B33" s="1">
        <v>25</v>
      </c>
      <c r="C33" s="10"/>
      <c r="D33" s="10"/>
      <c r="E33" s="10"/>
      <c r="F33" s="10"/>
      <c r="G33" s="10"/>
      <c r="H33" s="12" t="str">
        <f>IF(OR(C33="",L33&lt;&gt;"Ready"),"",SUMIFS('Level Map'!$I$9:$I$308,'Level Map'!$B$9:$B$308,B33,'Level Map'!$H$9:$H$308,"&gt;0"))</f>
        <v/>
      </c>
      <c r="I33" s="13" t="str">
        <f>IF(OR(C33="",L33&lt;&gt;"Ready"),"",SUMIFS('Level Map'!$I$9:$I$308,'Level Map'!$B$9:$B$308,B33,'Level Map'!$H$9:$H$308,"&lt;0"))</f>
        <v/>
      </c>
      <c r="J33" s="8" t="str">
        <f t="shared" si="0"/>
        <v/>
      </c>
      <c r="K33" s="10"/>
      <c r="L33" s="11" t="str">
        <f>IF(C33="","",IF(COUNTIF('Level Map'!$B$9:$B$308,B33)=0,"Add map entries",IF(COUNTIFS('Level Map'!$B$9:$B$308,B33,'Level Map'!$J$9:$J$308,"&lt;&gt;Ready")&gt;0,"Fix map entries","Ready")))</f>
        <v/>
      </c>
    </row>
    <row r="34" spans="1:12" ht="45" customHeight="1">
      <c r="A34" s="1"/>
      <c r="B34" s="1">
        <v>26</v>
      </c>
      <c r="C34" s="10"/>
      <c r="D34" s="10"/>
      <c r="E34" s="10"/>
      <c r="F34" s="10"/>
      <c r="G34" s="10"/>
      <c r="H34" s="12" t="str">
        <f>IF(OR(C34="",L34&lt;&gt;"Ready"),"",SUMIFS('Level Map'!$I$9:$I$308,'Level Map'!$B$9:$B$308,B34,'Level Map'!$H$9:$H$308,"&gt;0"))</f>
        <v/>
      </c>
      <c r="I34" s="13" t="str">
        <f>IF(OR(C34="",L34&lt;&gt;"Ready"),"",SUMIFS('Level Map'!$I$9:$I$308,'Level Map'!$B$9:$B$308,B34,'Level Map'!$H$9:$H$308,"&lt;0"))</f>
        <v/>
      </c>
      <c r="J34" s="8" t="str">
        <f t="shared" si="0"/>
        <v/>
      </c>
      <c r="K34" s="10"/>
      <c r="L34" s="11" t="str">
        <f>IF(C34="","",IF(COUNTIF('Level Map'!$B$9:$B$308,B34)=0,"Add map entries",IF(COUNTIFS('Level Map'!$B$9:$B$308,B34,'Level Map'!$J$9:$J$308,"&lt;&gt;Ready")&gt;0,"Fix map entries","Ready")))</f>
        <v/>
      </c>
    </row>
    <row r="35" spans="1:12" ht="45" customHeight="1">
      <c r="A35" s="1"/>
      <c r="B35" s="1">
        <v>27</v>
      </c>
      <c r="C35" s="10"/>
      <c r="D35" s="10"/>
      <c r="E35" s="10"/>
      <c r="F35" s="10"/>
      <c r="G35" s="10"/>
      <c r="H35" s="12" t="str">
        <f>IF(OR(C35="",L35&lt;&gt;"Ready"),"",SUMIFS('Level Map'!$I$9:$I$308,'Level Map'!$B$9:$B$308,B35,'Level Map'!$H$9:$H$308,"&gt;0"))</f>
        <v/>
      </c>
      <c r="I35" s="13" t="str">
        <f>IF(OR(C35="",L35&lt;&gt;"Ready"),"",SUMIFS('Level Map'!$I$9:$I$308,'Level Map'!$B$9:$B$308,B35,'Level Map'!$H$9:$H$308,"&lt;0"))</f>
        <v/>
      </c>
      <c r="J35" s="8" t="str">
        <f t="shared" si="0"/>
        <v/>
      </c>
      <c r="K35" s="10"/>
      <c r="L35" s="11" t="str">
        <f>IF(C35="","",IF(COUNTIF('Level Map'!$B$9:$B$308,B35)=0,"Add map entries",IF(COUNTIFS('Level Map'!$B$9:$B$308,B35,'Level Map'!$J$9:$J$308,"&lt;&gt;Ready")&gt;0,"Fix map entries","Ready")))</f>
        <v/>
      </c>
    </row>
    <row r="36" spans="1:12" ht="45" customHeight="1">
      <c r="A36" s="1"/>
      <c r="B36" s="1">
        <v>28</v>
      </c>
      <c r="C36" s="10"/>
      <c r="D36" s="10"/>
      <c r="E36" s="10"/>
      <c r="F36" s="10"/>
      <c r="G36" s="10"/>
      <c r="H36" s="12" t="str">
        <f>IF(OR(C36="",L36&lt;&gt;"Ready"),"",SUMIFS('Level Map'!$I$9:$I$308,'Level Map'!$B$9:$B$308,B36,'Level Map'!$H$9:$H$308,"&gt;0"))</f>
        <v/>
      </c>
      <c r="I36" s="13" t="str">
        <f>IF(OR(C36="",L36&lt;&gt;"Ready"),"",SUMIFS('Level Map'!$I$9:$I$308,'Level Map'!$B$9:$B$308,B36,'Level Map'!$H$9:$H$308,"&lt;0"))</f>
        <v/>
      </c>
      <c r="J36" s="8" t="str">
        <f t="shared" si="0"/>
        <v/>
      </c>
      <c r="K36" s="10"/>
      <c r="L36" s="11" t="str">
        <f>IF(C36="","",IF(COUNTIF('Level Map'!$B$9:$B$308,B36)=0,"Add map entries",IF(COUNTIFS('Level Map'!$B$9:$B$308,B36,'Level Map'!$J$9:$J$308,"&lt;&gt;Ready")&gt;0,"Fix map entries","Ready")))</f>
        <v/>
      </c>
    </row>
    <row r="37" spans="1:12" ht="45" customHeight="1">
      <c r="A37" s="1"/>
      <c r="B37" s="1">
        <v>29</v>
      </c>
      <c r="C37" s="10"/>
      <c r="D37" s="10"/>
      <c r="E37" s="10"/>
      <c r="F37" s="10"/>
      <c r="G37" s="10"/>
      <c r="H37" s="12" t="str">
        <f>IF(OR(C37="",L37&lt;&gt;"Ready"),"",SUMIFS('Level Map'!$I$9:$I$308,'Level Map'!$B$9:$B$308,B37,'Level Map'!$H$9:$H$308,"&gt;0"))</f>
        <v/>
      </c>
      <c r="I37" s="13" t="str">
        <f>IF(OR(C37="",L37&lt;&gt;"Ready"),"",SUMIFS('Level Map'!$I$9:$I$308,'Level Map'!$B$9:$B$308,B37,'Level Map'!$H$9:$H$308,"&lt;0"))</f>
        <v/>
      </c>
      <c r="J37" s="8" t="str">
        <f t="shared" si="0"/>
        <v/>
      </c>
      <c r="K37" s="10"/>
      <c r="L37" s="11" t="str">
        <f>IF(C37="","",IF(COUNTIF('Level Map'!$B$9:$B$308,B37)=0,"Add map entries",IF(COUNTIFS('Level Map'!$B$9:$B$308,B37,'Level Map'!$J$9:$J$308,"&lt;&gt;Ready")&gt;0,"Fix map entries","Ready")))</f>
        <v/>
      </c>
    </row>
    <row r="38" spans="1:12" ht="45" customHeight="1">
      <c r="A38" s="1"/>
      <c r="B38" s="1">
        <v>30</v>
      </c>
      <c r="C38" s="10"/>
      <c r="D38" s="10"/>
      <c r="E38" s="10"/>
      <c r="F38" s="10"/>
      <c r="G38" s="10"/>
      <c r="H38" s="12" t="str">
        <f>IF(OR(C38="",L38&lt;&gt;"Ready"),"",SUMIFS('Level Map'!$I$9:$I$308,'Level Map'!$B$9:$B$308,B38,'Level Map'!$H$9:$H$308,"&gt;0"))</f>
        <v/>
      </c>
      <c r="I38" s="13" t="str">
        <f>IF(OR(C38="",L38&lt;&gt;"Ready"),"",SUMIFS('Level Map'!$I$9:$I$308,'Level Map'!$B$9:$B$308,B38,'Level Map'!$H$9:$H$308,"&lt;0"))</f>
        <v/>
      </c>
      <c r="J38" s="8" t="str">
        <f t="shared" si="0"/>
        <v/>
      </c>
      <c r="K38" s="10"/>
      <c r="L38" s="11" t="str">
        <f>IF(C38="","",IF(COUNTIF('Level Map'!$B$9:$B$308,B38)=0,"Add map entries",IF(COUNTIFS('Level Map'!$B$9:$B$308,B38,'Level Map'!$J$9:$J$308,"&lt;&gt;Ready")&gt;0,"Fix map entries","Ready")))</f>
        <v/>
      </c>
    </row>
    <row r="39" spans="1:12" ht="23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2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</sheetData>
  <conditionalFormatting sqref="L9:L38">
    <cfRule type="expression" dxfId="7" priority="1">
      <formula>AND(L9&lt;&gt;"",L9&lt;&gt;"Ready")</formula>
    </cfRule>
  </conditionalFormatting>
  <dataValidations count="1">
    <dataValidation type="list" sqref="E9:E38" xr:uid="{00000000-0002-0000-0100-000000000000}">
      <formula1>"Introduction,Reinforcement,Challenge"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7A84B"/>
  </sheetPr>
  <dimension ref="A1:H42"/>
  <sheetViews>
    <sheetView showGridLines="0" workbookViewId="0">
      <pane ySplit="8" topLeftCell="A9" activePane="bottomLeft" state="frozen"/>
      <selection pane="bottomLeft"/>
    </sheetView>
  </sheetViews>
  <sheetFormatPr defaultRowHeight="14"/>
  <cols>
    <col min="1" max="1" width="3" customWidth="1"/>
    <col min="2" max="2" width="8" customWidth="1"/>
    <col min="3" max="3" width="25" customWidth="1"/>
    <col min="4" max="4" width="13" customWidth="1"/>
    <col min="5" max="5" width="17" customWidth="1"/>
    <col min="6" max="6" width="29" customWidth="1"/>
    <col min="7" max="7" width="64" customWidth="1"/>
    <col min="8" max="8" width="24" customWidth="1"/>
  </cols>
  <sheetData>
    <row r="1" spans="1:8" ht="23" customHeight="1">
      <c r="A1" s="1"/>
      <c r="B1" s="1"/>
      <c r="C1" s="1"/>
      <c r="D1" s="1"/>
      <c r="E1" s="1"/>
      <c r="F1" s="1"/>
      <c r="G1" s="1"/>
      <c r="H1" s="1"/>
    </row>
    <row r="2" spans="1:8" ht="30" customHeight="1">
      <c r="A2" s="1"/>
      <c r="B2" s="2" t="s">
        <v>57</v>
      </c>
      <c r="C2" s="1"/>
      <c r="D2" s="1"/>
      <c r="E2" s="1"/>
      <c r="F2" s="1"/>
      <c r="G2" s="1"/>
      <c r="H2" s="1"/>
    </row>
    <row r="3" spans="1:8" ht="23" customHeight="1">
      <c r="A3" s="1"/>
      <c r="B3" s="1"/>
      <c r="C3" s="1"/>
      <c r="D3" s="1"/>
      <c r="E3" s="1"/>
      <c r="F3" s="1"/>
      <c r="G3" s="1"/>
      <c r="H3" s="1"/>
    </row>
    <row r="4" spans="1:8" ht="23" customHeight="1">
      <c r="A4" s="1"/>
      <c r="B4" s="3" t="s">
        <v>58</v>
      </c>
      <c r="C4" s="1"/>
      <c r="D4" s="1"/>
      <c r="E4" s="1"/>
      <c r="F4" s="1"/>
      <c r="G4" s="1"/>
      <c r="H4" s="1"/>
    </row>
    <row r="5" spans="1:8" ht="23" customHeight="1">
      <c r="A5" s="1"/>
      <c r="B5" s="1"/>
      <c r="C5" s="1"/>
      <c r="D5" s="1"/>
      <c r="E5" s="1"/>
      <c r="F5" s="1"/>
      <c r="G5" s="1"/>
      <c r="H5" s="1"/>
    </row>
    <row r="6" spans="1:8" ht="23" customHeight="1">
      <c r="A6" s="1"/>
      <c r="B6" s="1" t="s">
        <v>59</v>
      </c>
      <c r="C6" s="1"/>
      <c r="D6" s="1"/>
      <c r="E6" s="1"/>
      <c r="F6" s="1"/>
      <c r="G6" s="1"/>
      <c r="H6" s="1"/>
    </row>
    <row r="7" spans="1:8" ht="23" customHeight="1">
      <c r="A7" s="1"/>
      <c r="B7" s="1"/>
      <c r="C7" s="1"/>
      <c r="D7" s="1"/>
      <c r="E7" s="1"/>
      <c r="F7" s="1"/>
      <c r="G7" s="1"/>
      <c r="H7" s="1"/>
    </row>
    <row r="8" spans="1:8" ht="34" customHeight="1">
      <c r="A8" s="1"/>
      <c r="B8" s="6" t="s">
        <v>37</v>
      </c>
      <c r="C8" s="6" t="s">
        <v>60</v>
      </c>
      <c r="D8" s="6" t="s">
        <v>61</v>
      </c>
      <c r="E8" s="6" t="s">
        <v>62</v>
      </c>
      <c r="F8" s="6" t="s">
        <v>63</v>
      </c>
      <c r="G8" s="6" t="s">
        <v>64</v>
      </c>
      <c r="H8" s="6" t="s">
        <v>65</v>
      </c>
    </row>
    <row r="9" spans="1:8" ht="43" customHeight="1">
      <c r="A9" s="1"/>
      <c r="B9" s="1">
        <v>1</v>
      </c>
      <c r="C9" s="4" t="inlineStr">
        <is>
          <t>Contexto</t>
        </is>
      </c>
      <c r="D9" s="14">
        <v>0</v>
      </c>
      <c r="E9" s="7" t="str">
        <f t="shared" ref="E9:E28" si="0">IF(OR(C9="",LEN(D9)=0,NOT(ISNUMBER(D9))),"",IF(D9&gt;0,"Challenge",IF(D9&lt;0,"Support","Neutral")))</f>
        <v>Neutral</v>
      </c>
      <c r="F9" s="10" t="inlineStr">
        <is>
          <t>Uma sequencia ou marco visual</t>
        </is>
      </c>
      <c r="G9" s="10" t="inlineStr">
        <is>
          <t>Neutro; sem demanda de execucao.</t>
        </is>
      </c>
      <c r="H9" s="11" t="str">
        <f t="shared" ref="H9:H28" si="1">IF(COUNTA(C9:D9,F9:G9)=0,"",IF(C9="","Name element",IF(LEN(D9)=0,"Enter weight",IF(NOT(ISNUMBER(D9)),"Numeric weight",IF(F9="","Define counting unit","Ready")))))</f>
        <v>Ready</v>
      </c>
    </row>
    <row r="10" spans="1:8" ht="43" customHeight="1">
      <c r="A10" s="1"/>
      <c r="B10" s="1">
        <v>2</v>
      </c>
      <c r="C10" s="4" t="inlineStr">
        <is>
          <t>Trecho de construcao</t>
        </is>
      </c>
      <c r="D10" s="14">
        <v>1</v>
      </c>
      <c r="E10" s="7" t="str">
        <f t="shared" si="0"/>
        <v>Challenge</v>
      </c>
      <c r="F10" s="10" t="inlineStr">
        <is>
          <t>Um trecho de 192 px, nao cada bloco</t>
        </is>
      </c>
      <c r="G10" s="10" t="inlineStr">
        <is>
          <t>Proposta do coordenador: demanda base de planejar e saltar.</t>
        </is>
      </c>
      <c r="H10" s="11" t="str">
        <f t="shared" si="1"/>
        <v>Ready</v>
      </c>
    </row>
    <row r="11" spans="1:8" ht="43" customHeight="1">
      <c r="A11" s="1"/>
      <c r="B11" s="1">
        <v>3</v>
      </c>
      <c r="C11" s="4" t="inlineStr">
        <is>
          <t>Patrulha</t>
        </is>
      </c>
      <c r="D11" s="14">
        <v>2</v>
      </c>
      <c r="E11" s="7" t="str">
        <f t="shared" si="0"/>
        <v>Challenge</v>
      </c>
      <c r="F11" s="10" t="inlineStr">
        <is>
          <t>Um encontro com patrulha movel</t>
        </is>
      </c>
      <c r="G11" s="10" t="inlineStr">
        <is>
          <t>Proposta: combinar tempo e deslocamento exige mais que o trecho simples.</t>
        </is>
      </c>
      <c r="H11" s="11" t="str">
        <f t="shared" si="1"/>
        <v>Ready</v>
      </c>
    </row>
    <row r="12" spans="1:8" ht="43" customHeight="1">
      <c r="A12" s="1"/>
      <c r="B12" s="1">
        <v>4</v>
      </c>
      <c r="C12" s="4" t="inlineStr">
        <is>
          <t>Recuperacao</t>
        </is>
      </c>
      <c r="D12" s="14">
        <v>-1</v>
      </c>
      <c r="E12" s="7" t="str">
        <f t="shared" si="0"/>
        <v>Support</v>
      </c>
      <c r="F12" s="10" t="inlineStr">
        <is>
          <t>Uma plataforma de checkpoint</t>
        </is>
      </c>
      <c r="G12" s="10" t="inlineStr">
        <is>
          <t>Proposta: limita custo da queda e conserva materiais.</t>
        </is>
      </c>
      <c r="H12" s="11" t="str">
        <f t="shared" si="1"/>
        <v>Ready</v>
      </c>
    </row>
    <row r="13" spans="1:8" ht="43" customHeight="1">
      <c r="A13" s="1"/>
      <c r="B13" s="1">
        <v>5</v>
      </c>
      <c r="C13" s="4" t="inlineStr">
        <is>
          <t>Suprimento</t>
        </is>
      </c>
      <c r="D13" s="14">
        <v>-1</v>
      </c>
      <c r="E13" s="7" t="str">
        <f t="shared" si="0"/>
        <v>Support</v>
      </c>
      <c r="F13" s="10" t="inlineStr">
        <is>
          <t>Uma regra continua de queda de materiais</t>
        </is>
      </c>
      <c r="G13" s="10" t="inlineStr">
        <is>
          <t>Suporte de todo trecho; nao contar gotas ilimitadas.</t>
        </is>
      </c>
      <c r="H13" s="11" t="str">
        <f t="shared" si="1"/>
        <v>Ready</v>
      </c>
    </row>
    <row r="14" spans="1:8" ht="43" customHeight="1">
      <c r="A14" s="1"/>
      <c r="B14" s="1">
        <v>6</v>
      </c>
      <c r="C14" s="4"/>
      <c r="D14" s="14"/>
      <c r="E14" s="7" t="str">
        <f t="shared" si="0"/>
        <v/>
      </c>
      <c r="F14" s="10"/>
      <c r="G14" s="10"/>
      <c r="H14" s="11" t="str">
        <f t="shared" si="1"/>
        <v/>
      </c>
    </row>
    <row r="15" spans="1:8" ht="43" customHeight="1">
      <c r="A15" s="1"/>
      <c r="B15" s="1">
        <v>7</v>
      </c>
      <c r="C15" s="4"/>
      <c r="D15" s="14"/>
      <c r="E15" s="7" t="str">
        <f t="shared" si="0"/>
        <v/>
      </c>
      <c r="F15" s="10"/>
      <c r="G15" s="10"/>
      <c r="H15" s="11" t="str">
        <f t="shared" si="1"/>
        <v/>
      </c>
    </row>
    <row r="16" spans="1:8" ht="43" customHeight="1">
      <c r="A16" s="1"/>
      <c r="B16" s="1">
        <v>8</v>
      </c>
      <c r="C16" s="4"/>
      <c r="D16" s="14"/>
      <c r="E16" s="7" t="str">
        <f t="shared" si="0"/>
        <v/>
      </c>
      <c r="F16" s="10"/>
      <c r="G16" s="10"/>
      <c r="H16" s="11" t="str">
        <f t="shared" si="1"/>
        <v/>
      </c>
    </row>
    <row r="17" spans="1:8" ht="43" customHeight="1">
      <c r="A17" s="1"/>
      <c r="B17" s="1">
        <v>9</v>
      </c>
      <c r="C17" s="4"/>
      <c r="D17" s="14"/>
      <c r="E17" s="7" t="str">
        <f t="shared" si="0"/>
        <v/>
      </c>
      <c r="F17" s="10"/>
      <c r="G17" s="10"/>
      <c r="H17" s="11" t="str">
        <f t="shared" si="1"/>
        <v/>
      </c>
    </row>
    <row r="18" spans="1:8" ht="43" customHeight="1">
      <c r="A18" s="1"/>
      <c r="B18" s="1">
        <v>10</v>
      </c>
      <c r="C18" s="4"/>
      <c r="D18" s="14"/>
      <c r="E18" s="7" t="str">
        <f t="shared" si="0"/>
        <v/>
      </c>
      <c r="F18" s="10"/>
      <c r="G18" s="10"/>
      <c r="H18" s="11" t="str">
        <f t="shared" si="1"/>
        <v/>
      </c>
    </row>
    <row r="19" spans="1:8" ht="43" customHeight="1">
      <c r="A19" s="1"/>
      <c r="B19" s="1">
        <v>11</v>
      </c>
      <c r="C19" s="4"/>
      <c r="D19" s="14"/>
      <c r="E19" s="7" t="str">
        <f t="shared" si="0"/>
        <v/>
      </c>
      <c r="F19" s="10"/>
      <c r="G19" s="10"/>
      <c r="H19" s="11" t="str">
        <f t="shared" si="1"/>
        <v/>
      </c>
    </row>
    <row r="20" spans="1:8" ht="43" customHeight="1">
      <c r="A20" s="1"/>
      <c r="B20" s="1">
        <v>12</v>
      </c>
      <c r="C20" s="4"/>
      <c r="D20" s="14"/>
      <c r="E20" s="7" t="str">
        <f t="shared" si="0"/>
        <v/>
      </c>
      <c r="F20" s="10"/>
      <c r="G20" s="10"/>
      <c r="H20" s="11" t="str">
        <f t="shared" si="1"/>
        <v/>
      </c>
    </row>
    <row r="21" spans="1:8" ht="43" customHeight="1">
      <c r="A21" s="1"/>
      <c r="B21" s="1">
        <v>13</v>
      </c>
      <c r="C21" s="4"/>
      <c r="D21" s="14"/>
      <c r="E21" s="7" t="str">
        <f t="shared" si="0"/>
        <v/>
      </c>
      <c r="F21" s="10"/>
      <c r="G21" s="10"/>
      <c r="H21" s="11" t="str">
        <f t="shared" si="1"/>
        <v/>
      </c>
    </row>
    <row r="22" spans="1:8" ht="43" customHeight="1">
      <c r="A22" s="1"/>
      <c r="B22" s="1">
        <v>14</v>
      </c>
      <c r="C22" s="4"/>
      <c r="D22" s="14"/>
      <c r="E22" s="7" t="str">
        <f t="shared" si="0"/>
        <v/>
      </c>
      <c r="F22" s="10"/>
      <c r="G22" s="10"/>
      <c r="H22" s="11" t="str">
        <f t="shared" si="1"/>
        <v/>
      </c>
    </row>
    <row r="23" spans="1:8" ht="43" customHeight="1">
      <c r="A23" s="1"/>
      <c r="B23" s="1">
        <v>15</v>
      </c>
      <c r="C23" s="4"/>
      <c r="D23" s="14"/>
      <c r="E23" s="7" t="str">
        <f t="shared" si="0"/>
        <v/>
      </c>
      <c r="F23" s="10"/>
      <c r="G23" s="10"/>
      <c r="H23" s="11" t="str">
        <f t="shared" si="1"/>
        <v/>
      </c>
    </row>
    <row r="24" spans="1:8" ht="43" customHeight="1">
      <c r="A24" s="1"/>
      <c r="B24" s="1">
        <v>16</v>
      </c>
      <c r="C24" s="4"/>
      <c r="D24" s="14"/>
      <c r="E24" s="7" t="str">
        <f t="shared" si="0"/>
        <v/>
      </c>
      <c r="F24" s="10"/>
      <c r="G24" s="10"/>
      <c r="H24" s="11" t="str">
        <f t="shared" si="1"/>
        <v/>
      </c>
    </row>
    <row r="25" spans="1:8" ht="43" customHeight="1">
      <c r="A25" s="1"/>
      <c r="B25" s="1">
        <v>17</v>
      </c>
      <c r="C25" s="4"/>
      <c r="D25" s="14"/>
      <c r="E25" s="7" t="str">
        <f t="shared" si="0"/>
        <v/>
      </c>
      <c r="F25" s="10"/>
      <c r="G25" s="10"/>
      <c r="H25" s="11" t="str">
        <f t="shared" si="1"/>
        <v/>
      </c>
    </row>
    <row r="26" spans="1:8" ht="43" customHeight="1">
      <c r="A26" s="1"/>
      <c r="B26" s="1">
        <v>18</v>
      </c>
      <c r="C26" s="4"/>
      <c r="D26" s="14"/>
      <c r="E26" s="7" t="str">
        <f t="shared" si="0"/>
        <v/>
      </c>
      <c r="F26" s="10"/>
      <c r="G26" s="10"/>
      <c r="H26" s="11" t="str">
        <f t="shared" si="1"/>
        <v/>
      </c>
    </row>
    <row r="27" spans="1:8" ht="43" customHeight="1">
      <c r="A27" s="1"/>
      <c r="B27" s="1">
        <v>19</v>
      </c>
      <c r="C27" s="4"/>
      <c r="D27" s="14"/>
      <c r="E27" s="7" t="str">
        <f t="shared" si="0"/>
        <v/>
      </c>
      <c r="F27" s="10"/>
      <c r="G27" s="10"/>
      <c r="H27" s="11" t="str">
        <f t="shared" si="1"/>
        <v/>
      </c>
    </row>
    <row r="28" spans="1:8" ht="43" customHeight="1">
      <c r="A28" s="1"/>
      <c r="B28" s="1">
        <v>20</v>
      </c>
      <c r="C28" s="4"/>
      <c r="D28" s="14"/>
      <c r="E28" s="7" t="str">
        <f t="shared" si="0"/>
        <v/>
      </c>
      <c r="F28" s="10"/>
      <c r="G28" s="10"/>
      <c r="H28" s="11" t="str">
        <f t="shared" si="1"/>
        <v/>
      </c>
    </row>
    <row r="29" spans="1:8" ht="23" customHeight="1">
      <c r="A29" s="1"/>
      <c r="B29" s="1"/>
      <c r="C29" s="1"/>
      <c r="D29" s="1"/>
      <c r="E29" s="1"/>
      <c r="F29" s="1"/>
      <c r="G29" s="1"/>
      <c r="H29" s="1"/>
    </row>
    <row r="30" spans="1:8" ht="23" customHeight="1">
      <c r="A30" s="1"/>
      <c r="B30" s="1"/>
      <c r="C30" s="1"/>
      <c r="D30" s="1"/>
      <c r="E30" s="1"/>
      <c r="F30" s="1"/>
      <c r="G30" s="1"/>
      <c r="H30" s="1"/>
    </row>
    <row r="31" spans="1:8" ht="23" customHeight="1">
      <c r="A31" s="1"/>
      <c r="B31" s="9" t="s">
        <v>90</v>
      </c>
      <c r="C31" s="1"/>
      <c r="D31" s="1"/>
      <c r="E31" s="1"/>
      <c r="F31" s="1"/>
      <c r="G31" s="1"/>
      <c r="H31" s="1"/>
    </row>
    <row r="32" spans="1:8" ht="23" customHeight="1">
      <c r="A32" s="1"/>
      <c r="B32" s="1"/>
      <c r="C32" s="1"/>
      <c r="D32" s="1"/>
      <c r="E32" s="1"/>
      <c r="F32" s="1"/>
      <c r="G32" s="1"/>
      <c r="H32" s="1"/>
    </row>
    <row r="33" spans="1:8" ht="23" customHeight="1">
      <c r="A33" s="1"/>
      <c r="B33" s="1" t="s">
        <v>91</v>
      </c>
      <c r="C33" s="1" t="s">
        <v>92</v>
      </c>
      <c r="D33" s="1"/>
      <c r="E33" s="1"/>
      <c r="F33" s="1"/>
      <c r="G33" s="1"/>
      <c r="H33" s="1"/>
    </row>
    <row r="34" spans="1:8" ht="23" customHeight="1">
      <c r="A34" s="1"/>
      <c r="B34" s="1"/>
      <c r="C34" s="1" t="s">
        <v>93</v>
      </c>
      <c r="D34" s="1"/>
      <c r="E34" s="1"/>
      <c r="F34" s="1"/>
      <c r="G34" s="1"/>
      <c r="H34" s="1"/>
    </row>
    <row r="35" spans="1:8" ht="23" customHeight="1">
      <c r="A35" s="1"/>
      <c r="B35" s="1"/>
      <c r="C35" s="1" t="s">
        <v>94</v>
      </c>
      <c r="D35" s="1"/>
      <c r="E35" s="1"/>
      <c r="F35" s="1"/>
      <c r="G35" s="1"/>
      <c r="H35" s="1"/>
    </row>
    <row r="36" spans="1:8" ht="23" customHeight="1">
      <c r="A36" s="1"/>
      <c r="B36" s="1"/>
      <c r="C36" s="1"/>
      <c r="D36" s="1"/>
      <c r="E36" s="1"/>
      <c r="F36" s="1"/>
      <c r="G36" s="1"/>
      <c r="H36" s="1"/>
    </row>
    <row r="37" spans="1:8" ht="23" customHeight="1">
      <c r="A37" s="1"/>
      <c r="B37" s="1" t="s">
        <v>95</v>
      </c>
      <c r="C37" s="1" t="s">
        <v>96</v>
      </c>
      <c r="D37" s="1"/>
      <c r="E37" s="1"/>
      <c r="F37" s="1"/>
      <c r="G37" s="1"/>
      <c r="H37" s="1"/>
    </row>
    <row r="38" spans="1:8" ht="23" customHeight="1">
      <c r="A38" s="1"/>
      <c r="B38" s="1"/>
      <c r="C38" s="1" t="s">
        <v>97</v>
      </c>
      <c r="D38" s="1"/>
      <c r="E38" s="1"/>
      <c r="F38" s="1"/>
      <c r="G38" s="1"/>
      <c r="H38" s="1"/>
    </row>
    <row r="39" spans="1:8" ht="23" customHeight="1">
      <c r="A39" s="1"/>
      <c r="B39" s="1"/>
      <c r="C39" s="1" t="s">
        <v>98</v>
      </c>
      <c r="D39" s="1"/>
      <c r="E39" s="1"/>
      <c r="F39" s="1"/>
      <c r="G39" s="1"/>
      <c r="H39" s="1"/>
    </row>
    <row r="40" spans="1:8" ht="23" customHeight="1">
      <c r="A40" s="1"/>
      <c r="B40" s="1"/>
      <c r="C40" s="1" t="s">
        <v>99</v>
      </c>
      <c r="D40" s="1"/>
      <c r="E40" s="1"/>
      <c r="F40" s="1"/>
      <c r="G40" s="1"/>
      <c r="H40" s="1"/>
    </row>
    <row r="41" spans="1:8" ht="23" customHeight="1">
      <c r="A41" s="1"/>
      <c r="B41" s="1"/>
      <c r="C41" s="1"/>
      <c r="D41" s="1"/>
      <c r="E41" s="1"/>
      <c r="F41" s="1"/>
      <c r="G41" s="1"/>
      <c r="H41" s="1"/>
    </row>
    <row r="42" spans="1:8" ht="23" customHeight="1">
      <c r="A42" s="1"/>
      <c r="B42" s="1"/>
      <c r="C42" s="1"/>
      <c r="D42" s="1"/>
      <c r="E42" s="1"/>
      <c r="F42" s="1"/>
      <c r="G42" s="1"/>
      <c r="H42" s="1"/>
    </row>
  </sheetData>
  <conditionalFormatting sqref="E9:E28">
    <cfRule type="containsText" dxfId="6" priority="1" operator="containsText" text="Challenge"/>
    <cfRule type="containsText" dxfId="5" priority="2" operator="containsText" text="Support"/>
    <cfRule type="containsText" dxfId="4" priority="3" operator="containsText" text="Neutral"/>
  </conditionalFormatting>
  <conditionalFormatting sqref="H9:H28">
    <cfRule type="expression" dxfId="3" priority="4">
      <formula>AND(H9&lt;&gt;"",H9&lt;&gt;"Ready")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7A84B"/>
  </sheetPr>
  <dimension ref="A1:J31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1" width="3" customWidth="1"/>
    <col min="2" max="2" width="10" customWidth="1"/>
    <col min="3" max="3" width="11" customWidth="1"/>
    <col min="4" max="4" width="12" customWidth="1"/>
    <col min="5" max="5" width="35" customWidth="1"/>
    <col min="6" max="6" width="43" customWidth="1"/>
    <col min="7" max="7" width="25" customWidth="1"/>
    <col min="8" max="8" width="13" customWidth="1"/>
    <col min="9" max="9" width="15" customWidth="1"/>
    <col min="10" max="10" width="26" customWidth="1"/>
  </cols>
  <sheetData>
    <row r="1" spans="1:10" ht="23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1"/>
      <c r="B2" s="2" t="s">
        <v>100</v>
      </c>
      <c r="C2" s="1"/>
      <c r="D2" s="1"/>
      <c r="E2" s="1"/>
      <c r="F2" s="1"/>
      <c r="G2" s="1"/>
      <c r="H2" s="1"/>
      <c r="I2" s="1"/>
      <c r="J2" s="1"/>
    </row>
    <row r="3" spans="1:10" ht="23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3" customHeight="1">
      <c r="A4" s="1"/>
      <c r="B4" s="3" t="s">
        <v>101</v>
      </c>
      <c r="C4" s="1"/>
      <c r="D4" s="1"/>
      <c r="E4" s="1"/>
      <c r="F4" s="1"/>
      <c r="G4" s="1"/>
      <c r="H4" s="1"/>
      <c r="I4" s="1"/>
      <c r="J4" s="1"/>
    </row>
    <row r="5" spans="1:10" ht="23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23" customHeight="1">
      <c r="A6" s="1"/>
      <c r="B6" s="1" t="s">
        <v>102</v>
      </c>
      <c r="C6" s="1"/>
      <c r="D6" s="1"/>
      <c r="E6" s="1"/>
      <c r="F6" s="1"/>
      <c r="G6" s="1"/>
      <c r="H6" s="1"/>
      <c r="I6" s="1"/>
      <c r="J6" s="1"/>
    </row>
    <row r="7" spans="1:10" ht="23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34" customHeight="1">
      <c r="A8" s="1"/>
      <c r="B8" s="6" t="s">
        <v>103</v>
      </c>
      <c r="C8" s="6" t="s">
        <v>104</v>
      </c>
      <c r="D8" s="6" t="s">
        <v>105</v>
      </c>
      <c r="E8" s="6" t="s">
        <v>106</v>
      </c>
      <c r="F8" s="6" t="s">
        <v>107</v>
      </c>
      <c r="G8" s="6" t="s">
        <v>60</v>
      </c>
      <c r="H8" s="6" t="s">
        <v>108</v>
      </c>
      <c r="I8" s="6" t="s">
        <v>109</v>
      </c>
      <c r="J8" s="6" t="s">
        <v>18</v>
      </c>
    </row>
    <row r="9" spans="1:10" ht="40" customHeight="1">
      <c r="A9" s="1"/>
      <c r="B9" s="4">
        <v>1</v>
      </c>
      <c r="C9" s="4">
        <v>1</v>
      </c>
      <c r="D9" s="15">
        <v>1</v>
      </c>
      <c r="E9" s="10" t="inlineStr">
        <is>
          <t>Titulo/introducao</t>
        </is>
      </c>
      <c r="F9" s="10" t="inlineStr">
        <is>
          <t>Prontidao independente dos dois</t>
        </is>
      </c>
      <c r="G9" s="11" t="str">
        <f>IF(LEN(C9)=0,"",IF(COUNTIFS(Elements!$B$9:$B$28,C9,Elements!$C$9:$C$28,"&lt;&gt;")=0,"",INDEX(Elements!$C$9:$C$28,MATCH(C9,Elements!$B$9:$B$28,0))))</f>
        <v>Contexto</v>
      </c>
      <c r="H9" s="8">
        <f>IF(LEN(C9)=0,"",IF(COUNTIFS(Elements!$B$9:$B$28,C9,Elements!$D$9:$D$28,"&lt;&gt;")=0,"",INDEX(Elements!$D$9:$D$28,MATCH(C9,Elements!$B$9:$B$28,0))))</f>
        <v>0</v>
      </c>
      <c r="I9" s="8">
        <f t="shared" ref="I9:I72" si="0">IF(J9="Ready",D9*H9,"")</f>
        <v>0</v>
      </c>
      <c r="J9" s="7" t="str">
        <f>IF(COUNTA(B9:F9)=0,"",IF(LEN(B9)=0,"Choose segment",IF(COUNTIF(Segments!$B$9:$B$38,B9)=0,"Unknown segment",IF(COUNTIFS(Segments!$B$9:$B$38,B9,Segments!$C$9:$C$38,"&lt;&gt;")=0,"Name segment",IF(LEN(C9)=0,"Choose element",IF(G9="","Name or correct element",IF(LEN(H9)=0,"Enter element weight",IF(NOT(ISNUMBER(H9)),"Numeric weight needed",IF(LEN(D9)=0,"Enter quantity",IF(NOT(ISNUMBER(D9)),"Numeric quantity needed",IF(D9&lt;0,"Quantity below zero","Ready")))))))))))</f>
        <v>Ready</v>
      </c>
    </row>
    <row r="10" spans="1:10" ht="40" customHeight="1">
      <c r="A10" s="1"/>
      <c r="B10" s="4">
        <v>2</v>
      </c>
      <c r="C10" s="4">
        <v>2</v>
      </c>
      <c r="D10" s="15">
        <v>1</v>
      </c>
      <c r="E10" s="10" t="inlineStr">
        <is>
          <t>y1408 a y1216</t>
        </is>
      </c>
      <c r="F10" s="10" t="inlineStr">
        <is>
          <t>Construcao da primeira subida</t>
        </is>
      </c>
      <c r="G10" s="11" t="str">
        <f>IF(LEN(C10)=0,"",IF(COUNTIFS(Elements!$B$9:$B$28,C10,Elements!$C$9:$C$28,"&lt;&gt;")=0,"",INDEX(Elements!$C$9:$C$28,MATCH(C10,Elements!$B$9:$B$28,0))))</f>
        <v>Trecho de construcao</v>
      </c>
      <c r="H10" s="8">
        <f>IF(LEN(C10)=0,"",IF(COUNTIFS(Elements!$B$9:$B$28,C10,Elements!$D$9:$D$28,"&lt;&gt;")=0,"",INDEX(Elements!$D$9:$D$28,MATCH(C10,Elements!$B$9:$B$28,0))))</f>
        <v>1</v>
      </c>
      <c r="I10" s="8">
        <f t="shared" si="0"/>
        <v>1</v>
      </c>
      <c r="J10" s="7" t="str">
        <f>IF(COUNTA(B10:F10)=0,"",IF(LEN(B10)=0,"Choose segment",IF(COUNTIF(Segments!$B$9:$B$38,B10)=0,"Unknown segment",IF(COUNTIFS(Segments!$B$9:$B$38,B10,Segments!$C$9:$C$38,"&lt;&gt;")=0,"Name segment",IF(LEN(C10)=0,"Choose element",IF(G10="","Name or correct element",IF(LEN(H10)=0,"Enter element weight",IF(NOT(ISNUMBER(H10)),"Numeric weight needed",IF(LEN(D10)=0,"Enter quantity",IF(NOT(ISNUMBER(D10)),"Numeric quantity needed",IF(D10&lt;0,"Quantity below zero","Ready")))))))))))</f>
        <v>Ready</v>
      </c>
    </row>
    <row r="11" spans="1:10" ht="40" customHeight="1">
      <c r="A11" s="1"/>
      <c r="B11" s="4">
        <v>2</v>
      </c>
      <c r="C11" s="4">
        <v>4</v>
      </c>
      <c r="D11" s="15">
        <v>1</v>
      </c>
      <c r="E11" s="10" t="inlineStr">
        <is>
          <t>Plataforma y1216</t>
        </is>
      </c>
      <c r="F11" s="10" t="inlineStr">
        <is>
          <t>Recuperacao individual</t>
        </is>
      </c>
      <c r="G11" s="11" t="str">
        <f>IF(LEN(C11)=0,"",IF(COUNTIFS(Elements!$B$9:$B$28,C11,Elements!$C$9:$C$28,"&lt;&gt;")=0,"",INDEX(Elements!$C$9:$C$28,MATCH(C11,Elements!$B$9:$B$28,0))))</f>
        <v>Recuperacao</v>
      </c>
      <c r="H11" s="8">
        <f>IF(LEN(C11)=0,"",IF(COUNTIFS(Elements!$B$9:$B$28,C11,Elements!$D$9:$D$28,"&lt;&gt;")=0,"",INDEX(Elements!$D$9:$D$28,MATCH(C11,Elements!$B$9:$B$28,0))))</f>
        <v>-1</v>
      </c>
      <c r="I11" s="8">
        <f t="shared" si="0"/>
        <v>-1</v>
      </c>
      <c r="J11" s="7" t="str">
        <f>IF(COUNTA(B11:F11)=0,"",IF(LEN(B11)=0,"Choose segment",IF(COUNTIF(Segments!$B$9:$B$38,B11)=0,"Unknown segment",IF(COUNTIFS(Segments!$B$9:$B$38,B11,Segments!$C$9:$C$38,"&lt;&gt;")=0,"Name segment",IF(LEN(C11)=0,"Choose element",IF(G11="","Name or correct element",IF(LEN(H11)=0,"Enter element weight",IF(NOT(ISNUMBER(H11)),"Numeric weight needed",IF(LEN(D11)=0,"Enter quantity",IF(NOT(ISNUMBER(D11)),"Numeric quantity needed",IF(D11&lt;0,"Quantity below zero","Ready")))))))))))</f>
        <v>Ready</v>
      </c>
    </row>
    <row r="12" spans="1:10" ht="40" customHeight="1">
      <c r="A12" s="1"/>
      <c r="B12" s="4">
        <v>2</v>
      </c>
      <c r="C12" s="4">
        <v>5</v>
      </c>
      <c r="D12" s="15">
        <v>1</v>
      </c>
      <c r="E12" s="10" t="inlineStr">
        <is>
          <t>Queda junto aos jogadores</t>
        </is>
      </c>
      <c r="F12" s="10" t="inlineStr">
        <is>
          <t>Uma regra de suprimento</t>
        </is>
      </c>
      <c r="G12" s="11" t="str">
        <f>IF(LEN(C12)=0,"",IF(COUNTIFS(Elements!$B$9:$B$28,C12,Elements!$C$9:$C$28,"&lt;&gt;")=0,"",INDEX(Elements!$C$9:$C$28,MATCH(C12,Elements!$B$9:$B$28,0))))</f>
        <v>Suprimento</v>
      </c>
      <c r="H12" s="8">
        <f>IF(LEN(C12)=0,"",IF(COUNTIFS(Elements!$B$9:$B$28,C12,Elements!$D$9:$D$28,"&lt;&gt;")=0,"",INDEX(Elements!$D$9:$D$28,MATCH(C12,Elements!$B$9:$B$28,0))))</f>
        <v>-1</v>
      </c>
      <c r="I12" s="8">
        <f t="shared" si="0"/>
        <v>-1</v>
      </c>
      <c r="J12" s="7" t="str">
        <f>IF(COUNTA(B12:F12)=0,"",IF(LEN(B12)=0,"Choose segment",IF(COUNTIF(Segments!$B$9:$B$38,B12)=0,"Unknown segment",IF(COUNTIFS(Segments!$B$9:$B$38,B12,Segments!$C$9:$C$38,"&lt;&gt;")=0,"Name segment",IF(LEN(C12)=0,"Choose element",IF(G12="","Name or correct element",IF(LEN(H12)=0,"Enter element weight",IF(NOT(ISNUMBER(H12)),"Numeric weight needed",IF(LEN(D12)=0,"Enter quantity",IF(NOT(ISNUMBER(D12)),"Numeric quantity needed",IF(D12&lt;0,"Quantity below zero","Ready")))))))))))</f>
        <v>Ready</v>
      </c>
    </row>
    <row r="13" spans="1:10" ht="40" customHeight="1">
      <c r="A13" s="1"/>
      <c r="B13" s="4">
        <v>3</v>
      </c>
      <c r="C13" s="4">
        <v>2</v>
      </c>
      <c r="D13" s="15">
        <v>1</v>
      </c>
      <c r="E13" s="10" t="inlineStr">
        <is>
          <t>y1216 a y1024</t>
        </is>
      </c>
      <c r="F13" s="10" t="inlineStr">
        <is>
          <t>Subida</t>
        </is>
      </c>
      <c r="G13" s="11" t="str">
        <f>IF(LEN(C13)=0,"",IF(COUNTIFS(Elements!$B$9:$B$28,C13,Elements!$C$9:$C$28,"&lt;&gt;")=0,"",INDEX(Elements!$C$9:$C$28,MATCH(C13,Elements!$B$9:$B$28,0))))</f>
        <v>Trecho de construcao</v>
      </c>
      <c r="H13" s="8">
        <f>IF(LEN(C13)=0,"",IF(COUNTIFS(Elements!$B$9:$B$28,C13,Elements!$D$9:$D$28,"&lt;&gt;")=0,"",INDEX(Elements!$D$9:$D$28,MATCH(C13,Elements!$B$9:$B$28,0))))</f>
        <v>1</v>
      </c>
      <c r="I13" s="8">
        <f t="shared" si="0"/>
        <v>1</v>
      </c>
      <c r="J13" s="7" t="str">
        <f>IF(COUNTA(B13:F13)=0,"",IF(LEN(B13)=0,"Choose segment",IF(COUNTIF(Segments!$B$9:$B$38,B13)=0,"Unknown segment",IF(COUNTIFS(Segments!$B$9:$B$38,B13,Segments!$C$9:$C$38,"&lt;&gt;")=0,"Name segment",IF(LEN(C13)=0,"Choose element",IF(G13="","Name or correct element",IF(LEN(H13)=0,"Enter element weight",IF(NOT(ISNUMBER(H13)),"Numeric weight needed",IF(LEN(D13)=0,"Enter quantity",IF(NOT(ISNUMBER(D13)),"Numeric quantity needed",IF(D13&lt;0,"Quantity below zero","Ready")))))))))))</f>
        <v>Ready</v>
      </c>
    </row>
    <row r="14" spans="1:10" ht="40" customHeight="1">
      <c r="A14" s="1"/>
      <c r="B14" s="4">
        <v>3</v>
      </c>
      <c r="C14" s="4">
        <v>3</v>
      </c>
      <c r="D14" s="15">
        <v>1</v>
      </c>
      <c r="E14" s="10" t="inlineStr">
        <is>
          <t>Patrulha y940</t>
        </is>
      </c>
      <c r="F14" s="10" t="inlineStr">
        <is>
          <t>Encontro acima da plataforma</t>
        </is>
      </c>
      <c r="G14" s="11" t="str">
        <f>IF(LEN(C14)=0,"",IF(COUNTIFS(Elements!$B$9:$B$28,C14,Elements!$C$9:$C$28,"&lt;&gt;")=0,"",INDEX(Elements!$C$9:$C$28,MATCH(C14,Elements!$B$9:$B$28,0))))</f>
        <v>Patrulha</v>
      </c>
      <c r="H14" s="8">
        <f>IF(LEN(C14)=0,"",IF(COUNTIFS(Elements!$B$9:$B$28,C14,Elements!$D$9:$D$28,"&lt;&gt;")=0,"",INDEX(Elements!$D$9:$D$28,MATCH(C14,Elements!$B$9:$B$28,0))))</f>
        <v>2</v>
      </c>
      <c r="I14" s="8">
        <f t="shared" si="0"/>
        <v>2</v>
      </c>
      <c r="J14" s="7" t="str">
        <f>IF(COUNTA(B14:F14)=0,"",IF(LEN(B14)=0,"Choose segment",IF(COUNTIF(Segments!$B$9:$B$38,B14)=0,"Unknown segment",IF(COUNTIFS(Segments!$B$9:$B$38,B14,Segments!$C$9:$C$38,"&lt;&gt;")=0,"Name segment",IF(LEN(C14)=0,"Choose element",IF(G14="","Name or correct element",IF(LEN(H14)=0,"Enter element weight",IF(NOT(ISNUMBER(H14)),"Numeric weight needed",IF(LEN(D14)=0,"Enter quantity",IF(NOT(ISNUMBER(D14)),"Numeric quantity needed",IF(D14&lt;0,"Quantity below zero","Ready")))))))))))</f>
        <v>Ready</v>
      </c>
    </row>
    <row r="15" spans="1:10" ht="40" customHeight="1">
      <c r="A15" s="1"/>
      <c r="B15" s="4">
        <v>3</v>
      </c>
      <c r="C15" s="4">
        <v>4</v>
      </c>
      <c r="D15" s="15">
        <v>1</v>
      </c>
      <c r="E15" s="10" t="inlineStr">
        <is>
          <t>Plataforma y1024</t>
        </is>
      </c>
      <c r="F15" s="10" t="inlineStr">
        <is>
          <t>Recuperacao</t>
        </is>
      </c>
      <c r="G15" s="11" t="str">
        <f>IF(LEN(C15)=0,"",IF(COUNTIFS(Elements!$B$9:$B$28,C15,Elements!$C$9:$C$28,"&lt;&gt;")=0,"",INDEX(Elements!$C$9:$C$28,MATCH(C15,Elements!$B$9:$B$28,0))))</f>
        <v>Recuperacao</v>
      </c>
      <c r="H15" s="8">
        <f>IF(LEN(C15)=0,"",IF(COUNTIFS(Elements!$B$9:$B$28,C15,Elements!$D$9:$D$28,"&lt;&gt;")=0,"",INDEX(Elements!$D$9:$D$28,MATCH(C15,Elements!$B$9:$B$28,0))))</f>
        <v>-1</v>
      </c>
      <c r="I15" s="8">
        <f t="shared" si="0"/>
        <v>-1</v>
      </c>
      <c r="J15" s="7" t="str">
        <f>IF(COUNTA(B15:F15)=0,"",IF(LEN(B15)=0,"Choose segment",IF(COUNTIF(Segments!$B$9:$B$38,B15)=0,"Unknown segment",IF(COUNTIFS(Segments!$B$9:$B$38,B15,Segments!$C$9:$C$38,"&lt;&gt;")=0,"Name segment",IF(LEN(C15)=0,"Choose element",IF(G15="","Name or correct element",IF(LEN(H15)=0,"Enter element weight",IF(NOT(ISNUMBER(H15)),"Numeric weight needed",IF(LEN(D15)=0,"Enter quantity",IF(NOT(ISNUMBER(D15)),"Numeric quantity needed",IF(D15&lt;0,"Quantity below zero","Ready")))))))))))</f>
        <v>Ready</v>
      </c>
    </row>
    <row r="16" spans="1:10" ht="40" customHeight="1">
      <c r="A16" s="1"/>
      <c r="B16" s="4">
        <v>3</v>
      </c>
      <c r="C16" s="4">
        <v>5</v>
      </c>
      <c r="D16" s="15">
        <v>1</v>
      </c>
      <c r="E16" s="10" t="inlineStr">
        <is>
          <t>Durante trecho</t>
        </is>
      </c>
      <c r="F16" s="10" t="inlineStr">
        <is>
          <t>Suprimento</t>
        </is>
      </c>
      <c r="G16" s="11" t="str">
        <f>IF(LEN(C16)=0,"",IF(COUNTIFS(Elements!$B$9:$B$28,C16,Elements!$C$9:$C$28,"&lt;&gt;")=0,"",INDEX(Elements!$C$9:$C$28,MATCH(C16,Elements!$B$9:$B$28,0))))</f>
        <v>Suprimento</v>
      </c>
      <c r="H16" s="8">
        <f>IF(LEN(C16)=0,"",IF(COUNTIFS(Elements!$B$9:$B$28,C16,Elements!$D$9:$D$28,"&lt;&gt;")=0,"",INDEX(Elements!$D$9:$D$28,MATCH(C16,Elements!$B$9:$B$28,0))))</f>
        <v>-1</v>
      </c>
      <c r="I16" s="8">
        <f t="shared" si="0"/>
        <v>-1</v>
      </c>
      <c r="J16" s="7" t="str">
        <f>IF(COUNTA(B16:F16)=0,"",IF(LEN(B16)=0,"Choose segment",IF(COUNTIF(Segments!$B$9:$B$38,B16)=0,"Unknown segment",IF(COUNTIFS(Segments!$B$9:$B$38,B16,Segments!$C$9:$C$38,"&lt;&gt;")=0,"Name segment",IF(LEN(C16)=0,"Choose element",IF(G16="","Name or correct element",IF(LEN(H16)=0,"Enter element weight",IF(NOT(ISNUMBER(H16)),"Numeric weight needed",IF(LEN(D16)=0,"Enter quantity",IF(NOT(ISNUMBER(D16)),"Numeric quantity needed",IF(D16&lt;0,"Quantity below zero","Ready")))))))))))</f>
        <v>Ready</v>
      </c>
    </row>
    <row r="17" spans="1:10" ht="40" customHeight="1">
      <c r="A17" s="1"/>
      <c r="B17" s="4">
        <v>4</v>
      </c>
      <c r="C17" s="4">
        <v>2</v>
      </c>
      <c r="D17" s="15">
        <v>2</v>
      </c>
      <c r="E17" s="10" t="inlineStr">
        <is>
          <t>y1024 a y640</t>
        </is>
      </c>
      <c r="F17" s="10" t="inlineStr">
        <is>
          <t>Dois trechos de 192</t>
        </is>
      </c>
      <c r="G17" s="11" t="str">
        <f>IF(LEN(C17)=0,"",IF(COUNTIFS(Elements!$B$9:$B$28,C17,Elements!$C$9:$C$28,"&lt;&gt;")=0,"",INDEX(Elements!$C$9:$C$28,MATCH(C17,Elements!$B$9:$B$28,0))))</f>
        <v>Trecho de construcao</v>
      </c>
      <c r="H17" s="8">
        <f>IF(LEN(C17)=0,"",IF(COUNTIFS(Elements!$B$9:$B$28,C17,Elements!$D$9:$D$28,"&lt;&gt;")=0,"",INDEX(Elements!$D$9:$D$28,MATCH(C17,Elements!$B$9:$B$28,0))))</f>
        <v>1</v>
      </c>
      <c r="I17" s="8">
        <f t="shared" si="0"/>
        <v>2</v>
      </c>
      <c r="J17" s="7" t="str">
        <f>IF(COUNTA(B17:F17)=0,"",IF(LEN(B17)=0,"Choose segment",IF(COUNTIF(Segments!$B$9:$B$38,B17)=0,"Unknown segment",IF(COUNTIFS(Segments!$B$9:$B$38,B17,Segments!$C$9:$C$38,"&lt;&gt;")=0,"Name segment",IF(LEN(C17)=0,"Choose element",IF(G17="","Name or correct element",IF(LEN(H17)=0,"Enter element weight",IF(NOT(ISNUMBER(H17)),"Numeric weight needed",IF(LEN(D17)=0,"Enter quantity",IF(NOT(ISNUMBER(D17)),"Numeric quantity needed",IF(D17&lt;0,"Quantity below zero","Ready")))))))))))</f>
        <v>Ready</v>
      </c>
    </row>
    <row r="18" spans="1:10" ht="40" customHeight="1">
      <c r="A18" s="1"/>
      <c r="B18" s="4">
        <v>4</v>
      </c>
      <c r="C18" s="4">
        <v>4</v>
      </c>
      <c r="D18" s="15">
        <v>2</v>
      </c>
      <c r="E18" s="10" t="inlineStr">
        <is>
          <t>y832 e y640</t>
        </is>
      </c>
      <c r="F18" s="10" t="inlineStr">
        <is>
          <t>Duas plataformas</t>
        </is>
      </c>
      <c r="G18" s="11" t="str">
        <f>IF(LEN(C18)=0,"",IF(COUNTIFS(Elements!$B$9:$B$28,C18,Elements!$C$9:$C$28,"&lt;&gt;")=0,"",INDEX(Elements!$C$9:$C$28,MATCH(C18,Elements!$B$9:$B$28,0))))</f>
        <v>Recuperacao</v>
      </c>
      <c r="H18" s="8">
        <f>IF(LEN(C18)=0,"",IF(COUNTIFS(Elements!$B$9:$B$28,C18,Elements!$D$9:$D$28,"&lt;&gt;")=0,"",INDEX(Elements!$D$9:$D$28,MATCH(C18,Elements!$B$9:$B$28,0))))</f>
        <v>-1</v>
      </c>
      <c r="I18" s="8">
        <f t="shared" si="0"/>
        <v>-2</v>
      </c>
      <c r="J18" s="7" t="str">
        <f>IF(COUNTA(B18:F18)=0,"",IF(LEN(B18)=0,"Choose segment",IF(COUNTIF(Segments!$B$9:$B$38,B18)=0,"Unknown segment",IF(COUNTIFS(Segments!$B$9:$B$38,B18,Segments!$C$9:$C$38,"&lt;&gt;")=0,"Name segment",IF(LEN(C18)=0,"Choose element",IF(G18="","Name or correct element",IF(LEN(H18)=0,"Enter element weight",IF(NOT(ISNUMBER(H18)),"Numeric weight needed",IF(LEN(D18)=0,"Enter quantity",IF(NOT(ISNUMBER(D18)),"Numeric quantity needed",IF(D18&lt;0,"Quantity below zero","Ready")))))))))))</f>
        <v>Ready</v>
      </c>
    </row>
    <row r="19" spans="1:10" ht="40" customHeight="1">
      <c r="A19" s="1"/>
      <c r="B19" s="4">
        <v>4</v>
      </c>
      <c r="C19" s="4">
        <v>5</v>
      </c>
      <c r="D19" s="15">
        <v>1</v>
      </c>
      <c r="E19" s="10" t="inlineStr">
        <is>
          <t>Durante trecho</t>
        </is>
      </c>
      <c r="F19" s="10" t="inlineStr">
        <is>
          <t>Suprimento</t>
        </is>
      </c>
      <c r="G19" s="11" t="str">
        <f>IF(LEN(C19)=0,"",IF(COUNTIFS(Elements!$B$9:$B$28,C19,Elements!$C$9:$C$28,"&lt;&gt;")=0,"",INDEX(Elements!$C$9:$C$28,MATCH(C19,Elements!$B$9:$B$28,0))))</f>
        <v>Suprimento</v>
      </c>
      <c r="H19" s="8">
        <f>IF(LEN(C19)=0,"",IF(COUNTIFS(Elements!$B$9:$B$28,C19,Elements!$D$9:$D$28,"&lt;&gt;")=0,"",INDEX(Elements!$D$9:$D$28,MATCH(C19,Elements!$B$9:$B$28,0))))</f>
        <v>-1</v>
      </c>
      <c r="I19" s="8">
        <f t="shared" si="0"/>
        <v>-1</v>
      </c>
      <c r="J19" s="7" t="str">
        <f>IF(COUNTA(B19:F19)=0,"",IF(LEN(B19)=0,"Choose segment",IF(COUNTIF(Segments!$B$9:$B$38,B19)=0,"Unknown segment",IF(COUNTIFS(Segments!$B$9:$B$38,B19,Segments!$C$9:$C$38,"&lt;&gt;")=0,"Name segment",IF(LEN(C19)=0,"Choose element",IF(G19="","Name or correct element",IF(LEN(H19)=0,"Enter element weight",IF(NOT(ISNUMBER(H19)),"Numeric weight needed",IF(LEN(D19)=0,"Enter quantity",IF(NOT(ISNUMBER(D19)),"Numeric quantity needed",IF(D19&lt;0,"Quantity below zero","Ready")))))))))))</f>
        <v>Ready</v>
      </c>
    </row>
    <row r="20" spans="1:10" ht="40" customHeight="1">
      <c r="A20" s="1"/>
      <c r="B20" s="4">
        <v>5</v>
      </c>
      <c r="C20" s="4">
        <v>2</v>
      </c>
      <c r="D20" s="15">
        <v>1</v>
      </c>
      <c r="E20" s="10" t="inlineStr">
        <is>
          <t>y640 a y448</t>
        </is>
      </c>
      <c r="F20" s="10" t="inlineStr">
        <is>
          <t>Ultima subida</t>
        </is>
      </c>
      <c r="G20" s="11" t="str">
        <f>IF(LEN(C20)=0,"",IF(COUNTIFS(Elements!$B$9:$B$28,C20,Elements!$C$9:$C$28,"&lt;&gt;")=0,"",INDEX(Elements!$C$9:$C$28,MATCH(C20,Elements!$B$9:$B$28,0))))</f>
        <v>Trecho de construcao</v>
      </c>
      <c r="H20" s="8">
        <f>IF(LEN(C20)=0,"",IF(COUNTIFS(Elements!$B$9:$B$28,C20,Elements!$D$9:$D$28,"&lt;&gt;")=0,"",INDEX(Elements!$D$9:$D$28,MATCH(C20,Elements!$B$9:$B$28,0))))</f>
        <v>1</v>
      </c>
      <c r="I20" s="8">
        <f t="shared" si="0"/>
        <v>1</v>
      </c>
      <c r="J20" s="7" t="str">
        <f>IF(COUNTA(B20:F20)=0,"",IF(LEN(B20)=0,"Choose segment",IF(COUNTIF(Segments!$B$9:$B$38,B20)=0,"Unknown segment",IF(COUNTIFS(Segments!$B$9:$B$38,B20,Segments!$C$9:$C$38,"&lt;&gt;")=0,"Name segment",IF(LEN(C20)=0,"Choose element",IF(G20="","Name or correct element",IF(LEN(H20)=0,"Enter element weight",IF(NOT(ISNUMBER(H20)),"Numeric weight needed",IF(LEN(D20)=0,"Enter quantity",IF(NOT(ISNUMBER(D20)),"Numeric quantity needed",IF(D20&lt;0,"Quantity below zero","Ready")))))))))))</f>
        <v>Ready</v>
      </c>
    </row>
    <row r="21" spans="1:10" ht="40" customHeight="1">
      <c r="A21" s="1"/>
      <c r="B21" s="4">
        <v>5</v>
      </c>
      <c r="C21" s="4">
        <v>4</v>
      </c>
      <c r="D21" s="15">
        <v>1</v>
      </c>
      <c r="E21" s="10" t="inlineStr">
        <is>
          <t>Plataforma y448</t>
        </is>
      </c>
      <c r="F21" s="10" t="inlineStr">
        <is>
          <t>Pouso de ambos</t>
        </is>
      </c>
      <c r="G21" s="11" t="str">
        <f>IF(LEN(C21)=0,"",IF(COUNTIFS(Elements!$B$9:$B$28,C21,Elements!$C$9:$C$28,"&lt;&gt;")=0,"",INDEX(Elements!$C$9:$C$28,MATCH(C21,Elements!$B$9:$B$28,0))))</f>
        <v>Recuperacao</v>
      </c>
      <c r="H21" s="8">
        <f>IF(LEN(C21)=0,"",IF(COUNTIFS(Elements!$B$9:$B$28,C21,Elements!$D$9:$D$28,"&lt;&gt;")=0,"",INDEX(Elements!$D$9:$D$28,MATCH(C21,Elements!$B$9:$B$28,0))))</f>
        <v>-1</v>
      </c>
      <c r="I21" s="8">
        <f t="shared" si="0"/>
        <v>-1</v>
      </c>
      <c r="J21" s="7" t="str">
        <f>IF(COUNTA(B21:F21)=0,"",IF(LEN(B21)=0,"Choose segment",IF(COUNTIF(Segments!$B$9:$B$38,B21)=0,"Unknown segment",IF(COUNTIFS(Segments!$B$9:$B$38,B21,Segments!$C$9:$C$38,"&lt;&gt;")=0,"Name segment",IF(LEN(C21)=0,"Choose element",IF(G21="","Name or correct element",IF(LEN(H21)=0,"Enter element weight",IF(NOT(ISNUMBER(H21)),"Numeric weight needed",IF(LEN(D21)=0,"Enter quantity",IF(NOT(ISNUMBER(D21)),"Numeric quantity needed",IF(D21&lt;0,"Quantity below zero","Ready")))))))))))</f>
        <v>Ready</v>
      </c>
    </row>
    <row r="22" spans="1:10" ht="40" customHeight="1">
      <c r="A22" s="1"/>
      <c r="B22" s="4">
        <v>5</v>
      </c>
      <c r="C22" s="4">
        <v>5</v>
      </c>
      <c r="D22" s="15">
        <v>1</v>
      </c>
      <c r="E22" s="10" t="inlineStr">
        <is>
          <t>Durante trecho</t>
        </is>
      </c>
      <c r="F22" s="10" t="inlineStr">
        <is>
          <t>Suprimento</t>
        </is>
      </c>
      <c r="G22" s="11" t="str">
        <f>IF(LEN(C22)=0,"",IF(COUNTIFS(Elements!$B$9:$B$28,C22,Elements!$C$9:$C$28,"&lt;&gt;")=0,"",INDEX(Elements!$C$9:$C$28,MATCH(C22,Elements!$B$9:$B$28,0))))</f>
        <v>Suprimento</v>
      </c>
      <c r="H22" s="8">
        <f>IF(LEN(C22)=0,"",IF(COUNTIFS(Elements!$B$9:$B$28,C22,Elements!$D$9:$D$28,"&lt;&gt;")=0,"",INDEX(Elements!$D$9:$D$28,MATCH(C22,Elements!$B$9:$B$28,0))))</f>
        <v>-1</v>
      </c>
      <c r="I22" s="8">
        <f t="shared" si="0"/>
        <v>-1</v>
      </c>
      <c r="J22" s="7" t="str">
        <f>IF(COUNTA(B22:F22)=0,"",IF(LEN(B22)=0,"Choose segment",IF(COUNTIF(Segments!$B$9:$B$38,B22)=0,"Unknown segment",IF(COUNTIFS(Segments!$B$9:$B$38,B22,Segments!$C$9:$C$38,"&lt;&gt;")=0,"Name segment",IF(LEN(C22)=0,"Choose element",IF(G22="","Name or correct element",IF(LEN(H22)=0,"Enter element weight",IF(NOT(ISNUMBER(H22)),"Numeric weight needed",IF(LEN(D22)=0,"Enter quantity",IF(NOT(ISNUMBER(D22)),"Numeric quantity needed",IF(D22&lt;0,"Quantity below zero","Ready")))))))))))</f>
        <v>Ready</v>
      </c>
    </row>
    <row r="23" spans="1:10" ht="40" customHeight="1">
      <c r="A23" s="1"/>
      <c r="B23" s="4">
        <v>6</v>
      </c>
      <c r="C23" s="4">
        <v>1</v>
      </c>
      <c r="D23" s="15">
        <v>1</v>
      </c>
      <c r="E23" s="10" t="inlineStr">
        <is>
          <t>Sequencia final</t>
        </is>
      </c>
      <c r="F23" s="10" t="inlineStr">
        <is>
          <t>Seis avatares abstratos e reinicio</t>
        </is>
      </c>
      <c r="G23" s="11" t="str">
        <f>IF(LEN(C23)=0,"",IF(COUNTIFS(Elements!$B$9:$B$28,C23,Elements!$C$9:$C$28,"&lt;&gt;")=0,"",INDEX(Elements!$C$9:$C$28,MATCH(C23,Elements!$B$9:$B$28,0))))</f>
        <v>Contexto</v>
      </c>
      <c r="H23" s="8">
        <f>IF(LEN(C23)=0,"",IF(COUNTIFS(Elements!$B$9:$B$28,C23,Elements!$D$9:$D$28,"&lt;&gt;")=0,"",INDEX(Elements!$D$9:$D$28,MATCH(C23,Elements!$B$9:$B$28,0))))</f>
        <v>0</v>
      </c>
      <c r="I23" s="8">
        <f t="shared" si="0"/>
        <v>0</v>
      </c>
      <c r="J23" s="7" t="str">
        <f>IF(COUNTA(B23:F23)=0,"",IF(LEN(B23)=0,"Choose segment",IF(COUNTIF(Segments!$B$9:$B$38,B23)=0,"Unknown segment",IF(COUNTIFS(Segments!$B$9:$B$38,B23,Segments!$C$9:$C$38,"&lt;&gt;")=0,"Name segment",IF(LEN(C23)=0,"Choose element",IF(G23="","Name or correct element",IF(LEN(H23)=0,"Enter element weight",IF(NOT(ISNUMBER(H23)),"Numeric weight needed",IF(LEN(D23)=0,"Enter quantity",IF(NOT(ISNUMBER(D23)),"Numeric quantity needed",IF(D23&lt;0,"Quantity below zero","Ready")))))))))))</f>
        <v>Ready</v>
      </c>
    </row>
    <row r="24" spans="1:10" ht="40" customHeight="1">
      <c r="A24" s="1"/>
      <c r="B24" s="4"/>
      <c r="C24" s="4"/>
      <c r="D24" s="15"/>
      <c r="E24" s="10"/>
      <c r="F24" s="10"/>
      <c r="G24" s="11" t="str">
        <f>IF(LEN(C24)=0,"",IF(COUNTIFS(Elements!$B$9:$B$28,C24,Elements!$C$9:$C$28,"&lt;&gt;")=0,"",INDEX(Elements!$C$9:$C$28,MATCH(C24,Elements!$B$9:$B$28,0))))</f>
        <v/>
      </c>
      <c r="H24" s="8" t="str">
        <f>IF(LEN(C24)=0,"",IF(COUNTIFS(Elements!$B$9:$B$28,C24,Elements!$D$9:$D$28,"&lt;&gt;")=0,"",INDEX(Elements!$D$9:$D$28,MATCH(C24,Elements!$B$9:$B$28,0))))</f>
        <v/>
      </c>
      <c r="I24" s="8" t="str">
        <f t="shared" si="0"/>
        <v/>
      </c>
      <c r="J24" s="7" t="str">
        <f>IF(COUNTA(B24:F24)=0,"",IF(LEN(B24)=0,"Choose segment",IF(COUNTIF(Segments!$B$9:$B$38,B24)=0,"Unknown segment",IF(COUNTIFS(Segments!$B$9:$B$38,B24,Segments!$C$9:$C$38,"&lt;&gt;")=0,"Name segment",IF(LEN(C24)=0,"Choose element",IF(G24="","Name or correct element",IF(LEN(H24)=0,"Enter element weight",IF(NOT(ISNUMBER(H24)),"Numeric weight needed",IF(LEN(D24)=0,"Enter quantity",IF(NOT(ISNUMBER(D24)),"Numeric quantity needed",IF(D24&lt;0,"Quantity below zero","Ready")))))))))))</f>
        <v/>
      </c>
    </row>
    <row r="25" spans="1:10" ht="40" customHeight="1">
      <c r="A25" s="1"/>
      <c r="B25" s="4"/>
      <c r="C25" s="4"/>
      <c r="D25" s="15"/>
      <c r="E25" s="10"/>
      <c r="F25" s="10"/>
      <c r="G25" s="11" t="str">
        <f>IF(LEN(C25)=0,"",IF(COUNTIFS(Elements!$B$9:$B$28,C25,Elements!$C$9:$C$28,"&lt;&gt;")=0,"",INDEX(Elements!$C$9:$C$28,MATCH(C25,Elements!$B$9:$B$28,0))))</f>
        <v/>
      </c>
      <c r="H25" s="8" t="str">
        <f>IF(LEN(C25)=0,"",IF(COUNTIFS(Elements!$B$9:$B$28,C25,Elements!$D$9:$D$28,"&lt;&gt;")=0,"",INDEX(Elements!$D$9:$D$28,MATCH(C25,Elements!$B$9:$B$28,0))))</f>
        <v/>
      </c>
      <c r="I25" s="8" t="str">
        <f t="shared" si="0"/>
        <v/>
      </c>
      <c r="J25" s="7" t="str">
        <f>IF(COUNTA(B25:F25)=0,"",IF(LEN(B25)=0,"Choose segment",IF(COUNTIF(Segments!$B$9:$B$38,B25)=0,"Unknown segment",IF(COUNTIFS(Segments!$B$9:$B$38,B25,Segments!$C$9:$C$38,"&lt;&gt;")=0,"Name segment",IF(LEN(C25)=0,"Choose element",IF(G25="","Name or correct element",IF(LEN(H25)=0,"Enter element weight",IF(NOT(ISNUMBER(H25)),"Numeric weight needed",IF(LEN(D25)=0,"Enter quantity",IF(NOT(ISNUMBER(D25)),"Numeric quantity needed",IF(D25&lt;0,"Quantity below zero","Ready")))))))))))</f>
        <v/>
      </c>
    </row>
    <row r="26" spans="1:10" ht="40" customHeight="1">
      <c r="A26" s="1"/>
      <c r="B26" s="4"/>
      <c r="C26" s="4"/>
      <c r="D26" s="15"/>
      <c r="E26" s="10"/>
      <c r="F26" s="10"/>
      <c r="G26" s="11" t="str">
        <f>IF(LEN(C26)=0,"",IF(COUNTIFS(Elements!$B$9:$B$28,C26,Elements!$C$9:$C$28,"&lt;&gt;")=0,"",INDEX(Elements!$C$9:$C$28,MATCH(C26,Elements!$B$9:$B$28,0))))</f>
        <v/>
      </c>
      <c r="H26" s="8" t="str">
        <f>IF(LEN(C26)=0,"",IF(COUNTIFS(Elements!$B$9:$B$28,C26,Elements!$D$9:$D$28,"&lt;&gt;")=0,"",INDEX(Elements!$D$9:$D$28,MATCH(C26,Elements!$B$9:$B$28,0))))</f>
        <v/>
      </c>
      <c r="I26" s="8" t="str">
        <f t="shared" si="0"/>
        <v/>
      </c>
      <c r="J26" s="7" t="str">
        <f>IF(COUNTA(B26:F26)=0,"",IF(LEN(B26)=0,"Choose segment",IF(COUNTIF(Segments!$B$9:$B$38,B26)=0,"Unknown segment",IF(COUNTIFS(Segments!$B$9:$B$38,B26,Segments!$C$9:$C$38,"&lt;&gt;")=0,"Name segment",IF(LEN(C26)=0,"Choose element",IF(G26="","Name or correct element",IF(LEN(H26)=0,"Enter element weight",IF(NOT(ISNUMBER(H26)),"Numeric weight needed",IF(LEN(D26)=0,"Enter quantity",IF(NOT(ISNUMBER(D26)),"Numeric quantity needed",IF(D26&lt;0,"Quantity below zero","Ready")))))))))))</f>
        <v/>
      </c>
    </row>
    <row r="27" spans="1:10" ht="40" customHeight="1">
      <c r="A27" s="1"/>
      <c r="B27" s="4"/>
      <c r="C27" s="4"/>
      <c r="D27" s="15"/>
      <c r="E27" s="10"/>
      <c r="F27" s="10"/>
      <c r="G27" s="11" t="str">
        <f>IF(LEN(C27)=0,"",IF(COUNTIFS(Elements!$B$9:$B$28,C27,Elements!$C$9:$C$28,"&lt;&gt;")=0,"",INDEX(Elements!$C$9:$C$28,MATCH(C27,Elements!$B$9:$B$28,0))))</f>
        <v/>
      </c>
      <c r="H27" s="8" t="str">
        <f>IF(LEN(C27)=0,"",IF(COUNTIFS(Elements!$B$9:$B$28,C27,Elements!$D$9:$D$28,"&lt;&gt;")=0,"",INDEX(Elements!$D$9:$D$28,MATCH(C27,Elements!$B$9:$B$28,0))))</f>
        <v/>
      </c>
      <c r="I27" s="8" t="str">
        <f t="shared" si="0"/>
        <v/>
      </c>
      <c r="J27" s="7" t="str">
        <f>IF(COUNTA(B27:F27)=0,"",IF(LEN(B27)=0,"Choose segment",IF(COUNTIF(Segments!$B$9:$B$38,B27)=0,"Unknown segment",IF(COUNTIFS(Segments!$B$9:$B$38,B27,Segments!$C$9:$C$38,"&lt;&gt;")=0,"Name segment",IF(LEN(C27)=0,"Choose element",IF(G27="","Name or correct element",IF(LEN(H27)=0,"Enter element weight",IF(NOT(ISNUMBER(H27)),"Numeric weight needed",IF(LEN(D27)=0,"Enter quantity",IF(NOT(ISNUMBER(D27)),"Numeric quantity needed",IF(D27&lt;0,"Quantity below zero","Ready")))))))))))</f>
        <v/>
      </c>
    </row>
    <row r="28" spans="1:10" ht="40" customHeight="1">
      <c r="A28" s="1"/>
      <c r="B28" s="4"/>
      <c r="C28" s="4"/>
      <c r="D28" s="15"/>
      <c r="E28" s="10"/>
      <c r="F28" s="10"/>
      <c r="G28" s="11" t="str">
        <f>IF(LEN(C28)=0,"",IF(COUNTIFS(Elements!$B$9:$B$28,C28,Elements!$C$9:$C$28,"&lt;&gt;")=0,"",INDEX(Elements!$C$9:$C$28,MATCH(C28,Elements!$B$9:$B$28,0))))</f>
        <v/>
      </c>
      <c r="H28" s="8" t="str">
        <f>IF(LEN(C28)=0,"",IF(COUNTIFS(Elements!$B$9:$B$28,C28,Elements!$D$9:$D$28,"&lt;&gt;")=0,"",INDEX(Elements!$D$9:$D$28,MATCH(C28,Elements!$B$9:$B$28,0))))</f>
        <v/>
      </c>
      <c r="I28" s="8" t="str">
        <f t="shared" si="0"/>
        <v/>
      </c>
      <c r="J28" s="7" t="str">
        <f>IF(COUNTA(B28:F28)=0,"",IF(LEN(B28)=0,"Choose segment",IF(COUNTIF(Segments!$B$9:$B$38,B28)=0,"Unknown segment",IF(COUNTIFS(Segments!$B$9:$B$38,B28,Segments!$C$9:$C$38,"&lt;&gt;")=0,"Name segment",IF(LEN(C28)=0,"Choose element",IF(G28="","Name or correct element",IF(LEN(H28)=0,"Enter element weight",IF(NOT(ISNUMBER(H28)),"Numeric weight needed",IF(LEN(D28)=0,"Enter quantity",IF(NOT(ISNUMBER(D28)),"Numeric quantity needed",IF(D28&lt;0,"Quantity below zero","Ready")))))))))))</f>
        <v/>
      </c>
    </row>
    <row r="29" spans="1:10" ht="40" customHeight="1">
      <c r="A29" s="1"/>
      <c r="B29" s="4"/>
      <c r="C29" s="4"/>
      <c r="D29" s="15"/>
      <c r="E29" s="10"/>
      <c r="F29" s="10"/>
      <c r="G29" s="11" t="str">
        <f>IF(LEN(C29)=0,"",IF(COUNTIFS(Elements!$B$9:$B$28,C29,Elements!$C$9:$C$28,"&lt;&gt;")=0,"",INDEX(Elements!$C$9:$C$28,MATCH(C29,Elements!$B$9:$B$28,0))))</f>
        <v/>
      </c>
      <c r="H29" s="8" t="str">
        <f>IF(LEN(C29)=0,"",IF(COUNTIFS(Elements!$B$9:$B$28,C29,Elements!$D$9:$D$28,"&lt;&gt;")=0,"",INDEX(Elements!$D$9:$D$28,MATCH(C29,Elements!$B$9:$B$28,0))))</f>
        <v/>
      </c>
      <c r="I29" s="8" t="str">
        <f t="shared" si="0"/>
        <v/>
      </c>
      <c r="J29" s="7" t="str">
        <f>IF(COUNTA(B29:F29)=0,"",IF(LEN(B29)=0,"Choose segment",IF(COUNTIF(Segments!$B$9:$B$38,B29)=0,"Unknown segment",IF(COUNTIFS(Segments!$B$9:$B$38,B29,Segments!$C$9:$C$38,"&lt;&gt;")=0,"Name segment",IF(LEN(C29)=0,"Choose element",IF(G29="","Name or correct element",IF(LEN(H29)=0,"Enter element weight",IF(NOT(ISNUMBER(H29)),"Numeric weight needed",IF(LEN(D29)=0,"Enter quantity",IF(NOT(ISNUMBER(D29)),"Numeric quantity needed",IF(D29&lt;0,"Quantity below zero","Ready")))))))))))</f>
        <v/>
      </c>
    </row>
    <row r="30" spans="1:10" ht="40" customHeight="1">
      <c r="A30" s="1"/>
      <c r="B30" s="4"/>
      <c r="C30" s="4"/>
      <c r="D30" s="15"/>
      <c r="E30" s="10"/>
      <c r="F30" s="10"/>
      <c r="G30" s="11" t="str">
        <f>IF(LEN(C30)=0,"",IF(COUNTIFS(Elements!$B$9:$B$28,C30,Elements!$C$9:$C$28,"&lt;&gt;")=0,"",INDEX(Elements!$C$9:$C$28,MATCH(C30,Elements!$B$9:$B$28,0))))</f>
        <v/>
      </c>
      <c r="H30" s="8" t="str">
        <f>IF(LEN(C30)=0,"",IF(COUNTIFS(Elements!$B$9:$B$28,C30,Elements!$D$9:$D$28,"&lt;&gt;")=0,"",INDEX(Elements!$D$9:$D$28,MATCH(C30,Elements!$B$9:$B$28,0))))</f>
        <v/>
      </c>
      <c r="I30" s="8" t="str">
        <f t="shared" si="0"/>
        <v/>
      </c>
      <c r="J30" s="7" t="str">
        <f>IF(COUNTA(B30:F30)=0,"",IF(LEN(B30)=0,"Choose segment",IF(COUNTIF(Segments!$B$9:$B$38,B30)=0,"Unknown segment",IF(COUNTIFS(Segments!$B$9:$B$38,B30,Segments!$C$9:$C$38,"&lt;&gt;")=0,"Name segment",IF(LEN(C30)=0,"Choose element",IF(G30="","Name or correct element",IF(LEN(H30)=0,"Enter element weight",IF(NOT(ISNUMBER(H30)),"Numeric weight needed",IF(LEN(D30)=0,"Enter quantity",IF(NOT(ISNUMBER(D30)),"Numeric quantity needed",IF(D30&lt;0,"Quantity below zero","Ready")))))))))))</f>
        <v/>
      </c>
    </row>
    <row r="31" spans="1:10" ht="40" customHeight="1">
      <c r="A31" s="1"/>
      <c r="B31" s="4"/>
      <c r="C31" s="4"/>
      <c r="D31" s="15"/>
      <c r="E31" s="10"/>
      <c r="F31" s="10"/>
      <c r="G31" s="11" t="str">
        <f>IF(LEN(C31)=0,"",IF(COUNTIFS(Elements!$B$9:$B$28,C31,Elements!$C$9:$C$28,"&lt;&gt;")=0,"",INDEX(Elements!$C$9:$C$28,MATCH(C31,Elements!$B$9:$B$28,0))))</f>
        <v/>
      </c>
      <c r="H31" s="8" t="str">
        <f>IF(LEN(C31)=0,"",IF(COUNTIFS(Elements!$B$9:$B$28,C31,Elements!$D$9:$D$28,"&lt;&gt;")=0,"",INDEX(Elements!$D$9:$D$28,MATCH(C31,Elements!$B$9:$B$28,0))))</f>
        <v/>
      </c>
      <c r="I31" s="8" t="str">
        <f t="shared" si="0"/>
        <v/>
      </c>
      <c r="J31" s="7" t="str">
        <f>IF(COUNTA(B31:F31)=0,"",IF(LEN(B31)=0,"Choose segment",IF(COUNTIF(Segments!$B$9:$B$38,B31)=0,"Unknown segment",IF(COUNTIFS(Segments!$B$9:$B$38,B31,Segments!$C$9:$C$38,"&lt;&gt;")=0,"Name segment",IF(LEN(C31)=0,"Choose element",IF(G31="","Name or correct element",IF(LEN(H31)=0,"Enter element weight",IF(NOT(ISNUMBER(H31)),"Numeric weight needed",IF(LEN(D31)=0,"Enter quantity",IF(NOT(ISNUMBER(D31)),"Numeric quantity needed",IF(D31&lt;0,"Quantity below zero","Ready")))))))))))</f>
        <v/>
      </c>
    </row>
    <row r="32" spans="1:10" ht="40" customHeight="1">
      <c r="A32" s="1"/>
      <c r="B32" s="4"/>
      <c r="C32" s="4"/>
      <c r="D32" s="15"/>
      <c r="E32" s="10"/>
      <c r="F32" s="10"/>
      <c r="G32" s="11" t="str">
        <f>IF(LEN(C32)=0,"",IF(COUNTIFS(Elements!$B$9:$B$28,C32,Elements!$C$9:$C$28,"&lt;&gt;")=0,"",INDEX(Elements!$C$9:$C$28,MATCH(C32,Elements!$B$9:$B$28,0))))</f>
        <v/>
      </c>
      <c r="H32" s="8" t="str">
        <f>IF(LEN(C32)=0,"",IF(COUNTIFS(Elements!$B$9:$B$28,C32,Elements!$D$9:$D$28,"&lt;&gt;")=0,"",INDEX(Elements!$D$9:$D$28,MATCH(C32,Elements!$B$9:$B$28,0))))</f>
        <v/>
      </c>
      <c r="I32" s="8" t="str">
        <f t="shared" si="0"/>
        <v/>
      </c>
      <c r="J32" s="7" t="str">
        <f>IF(COUNTA(B32:F32)=0,"",IF(LEN(B32)=0,"Choose segment",IF(COUNTIF(Segments!$B$9:$B$38,B32)=0,"Unknown segment",IF(COUNTIFS(Segments!$B$9:$B$38,B32,Segments!$C$9:$C$38,"&lt;&gt;")=0,"Name segment",IF(LEN(C32)=0,"Choose element",IF(G32="","Name or correct element",IF(LEN(H32)=0,"Enter element weight",IF(NOT(ISNUMBER(H32)),"Numeric weight needed",IF(LEN(D32)=0,"Enter quantity",IF(NOT(ISNUMBER(D32)),"Numeric quantity needed",IF(D32&lt;0,"Quantity below zero","Ready")))))))))))</f>
        <v/>
      </c>
    </row>
    <row r="33" spans="1:10" ht="40" customHeight="1">
      <c r="A33" s="1"/>
      <c r="B33" s="4"/>
      <c r="C33" s="4"/>
      <c r="D33" s="15"/>
      <c r="E33" s="10"/>
      <c r="F33" s="10"/>
      <c r="G33" s="11" t="str">
        <f>IF(LEN(C33)=0,"",IF(COUNTIFS(Elements!$B$9:$B$28,C33,Elements!$C$9:$C$28,"&lt;&gt;")=0,"",INDEX(Elements!$C$9:$C$28,MATCH(C33,Elements!$B$9:$B$28,0))))</f>
        <v/>
      </c>
      <c r="H33" s="8" t="str">
        <f>IF(LEN(C33)=0,"",IF(COUNTIFS(Elements!$B$9:$B$28,C33,Elements!$D$9:$D$28,"&lt;&gt;")=0,"",INDEX(Elements!$D$9:$D$28,MATCH(C33,Elements!$B$9:$B$28,0))))</f>
        <v/>
      </c>
      <c r="I33" s="8" t="str">
        <f t="shared" si="0"/>
        <v/>
      </c>
      <c r="J33" s="7" t="str">
        <f>IF(COUNTA(B33:F33)=0,"",IF(LEN(B33)=0,"Choose segment",IF(COUNTIF(Segments!$B$9:$B$38,B33)=0,"Unknown segment",IF(COUNTIFS(Segments!$B$9:$B$38,B33,Segments!$C$9:$C$38,"&lt;&gt;")=0,"Name segment",IF(LEN(C33)=0,"Choose element",IF(G33="","Name or correct element",IF(LEN(H33)=0,"Enter element weight",IF(NOT(ISNUMBER(H33)),"Numeric weight needed",IF(LEN(D33)=0,"Enter quantity",IF(NOT(ISNUMBER(D33)),"Numeric quantity needed",IF(D33&lt;0,"Quantity below zero","Ready")))))))))))</f>
        <v/>
      </c>
    </row>
    <row r="34" spans="1:10" ht="40" customHeight="1">
      <c r="A34" s="1"/>
      <c r="B34" s="4"/>
      <c r="C34" s="4"/>
      <c r="D34" s="15"/>
      <c r="E34" s="10"/>
      <c r="F34" s="10"/>
      <c r="G34" s="11" t="str">
        <f>IF(LEN(C34)=0,"",IF(COUNTIFS(Elements!$B$9:$B$28,C34,Elements!$C$9:$C$28,"&lt;&gt;")=0,"",INDEX(Elements!$C$9:$C$28,MATCH(C34,Elements!$B$9:$B$28,0))))</f>
        <v/>
      </c>
      <c r="H34" s="8" t="str">
        <f>IF(LEN(C34)=0,"",IF(COUNTIFS(Elements!$B$9:$B$28,C34,Elements!$D$9:$D$28,"&lt;&gt;")=0,"",INDEX(Elements!$D$9:$D$28,MATCH(C34,Elements!$B$9:$B$28,0))))</f>
        <v/>
      </c>
      <c r="I34" s="8" t="str">
        <f t="shared" si="0"/>
        <v/>
      </c>
      <c r="J34" s="7" t="str">
        <f>IF(COUNTA(B34:F34)=0,"",IF(LEN(B34)=0,"Choose segment",IF(COUNTIF(Segments!$B$9:$B$38,B34)=0,"Unknown segment",IF(COUNTIFS(Segments!$B$9:$B$38,B34,Segments!$C$9:$C$38,"&lt;&gt;")=0,"Name segment",IF(LEN(C34)=0,"Choose element",IF(G34="","Name or correct element",IF(LEN(H34)=0,"Enter element weight",IF(NOT(ISNUMBER(H34)),"Numeric weight needed",IF(LEN(D34)=0,"Enter quantity",IF(NOT(ISNUMBER(D34)),"Numeric quantity needed",IF(D34&lt;0,"Quantity below zero","Ready")))))))))))</f>
        <v/>
      </c>
    </row>
    <row r="35" spans="1:10" ht="40" customHeight="1">
      <c r="A35" s="1"/>
      <c r="B35" s="4"/>
      <c r="C35" s="4"/>
      <c r="D35" s="15"/>
      <c r="E35" s="10"/>
      <c r="F35" s="10"/>
      <c r="G35" s="11" t="str">
        <f>IF(LEN(C35)=0,"",IF(COUNTIFS(Elements!$B$9:$B$28,C35,Elements!$C$9:$C$28,"&lt;&gt;")=0,"",INDEX(Elements!$C$9:$C$28,MATCH(C35,Elements!$B$9:$B$28,0))))</f>
        <v/>
      </c>
      <c r="H35" s="8" t="str">
        <f>IF(LEN(C35)=0,"",IF(COUNTIFS(Elements!$B$9:$B$28,C35,Elements!$D$9:$D$28,"&lt;&gt;")=0,"",INDEX(Elements!$D$9:$D$28,MATCH(C35,Elements!$B$9:$B$28,0))))</f>
        <v/>
      </c>
      <c r="I35" s="8" t="str">
        <f t="shared" si="0"/>
        <v/>
      </c>
      <c r="J35" s="7" t="str">
        <f>IF(COUNTA(B35:F35)=0,"",IF(LEN(B35)=0,"Choose segment",IF(COUNTIF(Segments!$B$9:$B$38,B35)=0,"Unknown segment",IF(COUNTIFS(Segments!$B$9:$B$38,B35,Segments!$C$9:$C$38,"&lt;&gt;")=0,"Name segment",IF(LEN(C35)=0,"Choose element",IF(G35="","Name or correct element",IF(LEN(H35)=0,"Enter element weight",IF(NOT(ISNUMBER(H35)),"Numeric weight needed",IF(LEN(D35)=0,"Enter quantity",IF(NOT(ISNUMBER(D35)),"Numeric quantity needed",IF(D35&lt;0,"Quantity below zero","Ready")))))))))))</f>
        <v/>
      </c>
    </row>
    <row r="36" spans="1:10" ht="40" customHeight="1">
      <c r="A36" s="1"/>
      <c r="B36" s="4"/>
      <c r="C36" s="4"/>
      <c r="D36" s="15"/>
      <c r="E36" s="10"/>
      <c r="F36" s="10"/>
      <c r="G36" s="11" t="str">
        <f>IF(LEN(C36)=0,"",IF(COUNTIFS(Elements!$B$9:$B$28,C36,Elements!$C$9:$C$28,"&lt;&gt;")=0,"",INDEX(Elements!$C$9:$C$28,MATCH(C36,Elements!$B$9:$B$28,0))))</f>
        <v/>
      </c>
      <c r="H36" s="8" t="str">
        <f>IF(LEN(C36)=0,"",IF(COUNTIFS(Elements!$B$9:$B$28,C36,Elements!$D$9:$D$28,"&lt;&gt;")=0,"",INDEX(Elements!$D$9:$D$28,MATCH(C36,Elements!$B$9:$B$28,0))))</f>
        <v/>
      </c>
      <c r="I36" s="8" t="str">
        <f t="shared" si="0"/>
        <v/>
      </c>
      <c r="J36" s="7" t="str">
        <f>IF(COUNTA(B36:F36)=0,"",IF(LEN(B36)=0,"Choose segment",IF(COUNTIF(Segments!$B$9:$B$38,B36)=0,"Unknown segment",IF(COUNTIFS(Segments!$B$9:$B$38,B36,Segments!$C$9:$C$38,"&lt;&gt;")=0,"Name segment",IF(LEN(C36)=0,"Choose element",IF(G36="","Name or correct element",IF(LEN(H36)=0,"Enter element weight",IF(NOT(ISNUMBER(H36)),"Numeric weight needed",IF(LEN(D36)=0,"Enter quantity",IF(NOT(ISNUMBER(D36)),"Numeric quantity needed",IF(D36&lt;0,"Quantity below zero","Ready")))))))))))</f>
        <v/>
      </c>
    </row>
    <row r="37" spans="1:10" ht="40" customHeight="1">
      <c r="A37" s="1"/>
      <c r="B37" s="4"/>
      <c r="C37" s="4"/>
      <c r="D37" s="15"/>
      <c r="E37" s="10"/>
      <c r="F37" s="10"/>
      <c r="G37" s="11" t="str">
        <f>IF(LEN(C37)=0,"",IF(COUNTIFS(Elements!$B$9:$B$28,C37,Elements!$C$9:$C$28,"&lt;&gt;")=0,"",INDEX(Elements!$C$9:$C$28,MATCH(C37,Elements!$B$9:$B$28,0))))</f>
        <v/>
      </c>
      <c r="H37" s="8" t="str">
        <f>IF(LEN(C37)=0,"",IF(COUNTIFS(Elements!$B$9:$B$28,C37,Elements!$D$9:$D$28,"&lt;&gt;")=0,"",INDEX(Elements!$D$9:$D$28,MATCH(C37,Elements!$B$9:$B$28,0))))</f>
        <v/>
      </c>
      <c r="I37" s="8" t="str">
        <f t="shared" si="0"/>
        <v/>
      </c>
      <c r="J37" s="7" t="str">
        <f>IF(COUNTA(B37:F37)=0,"",IF(LEN(B37)=0,"Choose segment",IF(COUNTIF(Segments!$B$9:$B$38,B37)=0,"Unknown segment",IF(COUNTIFS(Segments!$B$9:$B$38,B37,Segments!$C$9:$C$38,"&lt;&gt;")=0,"Name segment",IF(LEN(C37)=0,"Choose element",IF(G37="","Name or correct element",IF(LEN(H37)=0,"Enter element weight",IF(NOT(ISNUMBER(H37)),"Numeric weight needed",IF(LEN(D37)=0,"Enter quantity",IF(NOT(ISNUMBER(D37)),"Numeric quantity needed",IF(D37&lt;0,"Quantity below zero","Ready")))))))))))</f>
        <v/>
      </c>
    </row>
    <row r="38" spans="1:10" ht="40" customHeight="1">
      <c r="A38" s="1"/>
      <c r="B38" s="4"/>
      <c r="C38" s="4"/>
      <c r="D38" s="15"/>
      <c r="E38" s="10"/>
      <c r="F38" s="10"/>
      <c r="G38" s="11" t="str">
        <f>IF(LEN(C38)=0,"",IF(COUNTIFS(Elements!$B$9:$B$28,C38,Elements!$C$9:$C$28,"&lt;&gt;")=0,"",INDEX(Elements!$C$9:$C$28,MATCH(C38,Elements!$B$9:$B$28,0))))</f>
        <v/>
      </c>
      <c r="H38" s="8" t="str">
        <f>IF(LEN(C38)=0,"",IF(COUNTIFS(Elements!$B$9:$B$28,C38,Elements!$D$9:$D$28,"&lt;&gt;")=0,"",INDEX(Elements!$D$9:$D$28,MATCH(C38,Elements!$B$9:$B$28,0))))</f>
        <v/>
      </c>
      <c r="I38" s="8" t="str">
        <f t="shared" si="0"/>
        <v/>
      </c>
      <c r="J38" s="7" t="str">
        <f>IF(COUNTA(B38:F38)=0,"",IF(LEN(B38)=0,"Choose segment",IF(COUNTIF(Segments!$B$9:$B$38,B38)=0,"Unknown segment",IF(COUNTIFS(Segments!$B$9:$B$38,B38,Segments!$C$9:$C$38,"&lt;&gt;")=0,"Name segment",IF(LEN(C38)=0,"Choose element",IF(G38="","Name or correct element",IF(LEN(H38)=0,"Enter element weight",IF(NOT(ISNUMBER(H38)),"Numeric weight needed",IF(LEN(D38)=0,"Enter quantity",IF(NOT(ISNUMBER(D38)),"Numeric quantity needed",IF(D38&lt;0,"Quantity below zero","Ready")))))))))))</f>
        <v/>
      </c>
    </row>
    <row r="39" spans="1:10" ht="40" customHeight="1">
      <c r="A39" s="1"/>
      <c r="B39" s="4"/>
      <c r="C39" s="4"/>
      <c r="D39" s="15"/>
      <c r="E39" s="10"/>
      <c r="F39" s="10"/>
      <c r="G39" s="11" t="str">
        <f>IF(LEN(C39)=0,"",IF(COUNTIFS(Elements!$B$9:$B$28,C39,Elements!$C$9:$C$28,"&lt;&gt;")=0,"",INDEX(Elements!$C$9:$C$28,MATCH(C39,Elements!$B$9:$B$28,0))))</f>
        <v/>
      </c>
      <c r="H39" s="8" t="str">
        <f>IF(LEN(C39)=0,"",IF(COUNTIFS(Elements!$B$9:$B$28,C39,Elements!$D$9:$D$28,"&lt;&gt;")=0,"",INDEX(Elements!$D$9:$D$28,MATCH(C39,Elements!$B$9:$B$28,0))))</f>
        <v/>
      </c>
      <c r="I39" s="8" t="str">
        <f t="shared" si="0"/>
        <v/>
      </c>
      <c r="J39" s="7" t="str">
        <f>IF(COUNTA(B39:F39)=0,"",IF(LEN(B39)=0,"Choose segment",IF(COUNTIF(Segments!$B$9:$B$38,B39)=0,"Unknown segment",IF(COUNTIFS(Segments!$B$9:$B$38,B39,Segments!$C$9:$C$38,"&lt;&gt;")=0,"Name segment",IF(LEN(C39)=0,"Choose element",IF(G39="","Name or correct element",IF(LEN(H39)=0,"Enter element weight",IF(NOT(ISNUMBER(H39)),"Numeric weight needed",IF(LEN(D39)=0,"Enter quantity",IF(NOT(ISNUMBER(D39)),"Numeric quantity needed",IF(D39&lt;0,"Quantity below zero","Ready")))))))))))</f>
        <v/>
      </c>
    </row>
    <row r="40" spans="1:10" ht="40" customHeight="1">
      <c r="A40" s="1"/>
      <c r="B40" s="4"/>
      <c r="C40" s="4"/>
      <c r="D40" s="15"/>
      <c r="E40" s="10"/>
      <c r="F40" s="10"/>
      <c r="G40" s="11" t="str">
        <f>IF(LEN(C40)=0,"",IF(COUNTIFS(Elements!$B$9:$B$28,C40,Elements!$C$9:$C$28,"&lt;&gt;")=0,"",INDEX(Elements!$C$9:$C$28,MATCH(C40,Elements!$B$9:$B$28,0))))</f>
        <v/>
      </c>
      <c r="H40" s="8" t="str">
        <f>IF(LEN(C40)=0,"",IF(COUNTIFS(Elements!$B$9:$B$28,C40,Elements!$D$9:$D$28,"&lt;&gt;")=0,"",INDEX(Elements!$D$9:$D$28,MATCH(C40,Elements!$B$9:$B$28,0))))</f>
        <v/>
      </c>
      <c r="I40" s="8" t="str">
        <f t="shared" si="0"/>
        <v/>
      </c>
      <c r="J40" s="7" t="str">
        <f>IF(COUNTA(B40:F40)=0,"",IF(LEN(B40)=0,"Choose segment",IF(COUNTIF(Segments!$B$9:$B$38,B40)=0,"Unknown segment",IF(COUNTIFS(Segments!$B$9:$B$38,B40,Segments!$C$9:$C$38,"&lt;&gt;")=0,"Name segment",IF(LEN(C40)=0,"Choose element",IF(G40="","Name or correct element",IF(LEN(H40)=0,"Enter element weight",IF(NOT(ISNUMBER(H40)),"Numeric weight needed",IF(LEN(D40)=0,"Enter quantity",IF(NOT(ISNUMBER(D40)),"Numeric quantity needed",IF(D40&lt;0,"Quantity below zero","Ready")))))))))))</f>
        <v/>
      </c>
    </row>
    <row r="41" spans="1:10" ht="40" customHeight="1">
      <c r="A41" s="1"/>
      <c r="B41" s="4"/>
      <c r="C41" s="4"/>
      <c r="D41" s="15"/>
      <c r="E41" s="10"/>
      <c r="F41" s="10"/>
      <c r="G41" s="11" t="str">
        <f>IF(LEN(C41)=0,"",IF(COUNTIFS(Elements!$B$9:$B$28,C41,Elements!$C$9:$C$28,"&lt;&gt;")=0,"",INDEX(Elements!$C$9:$C$28,MATCH(C41,Elements!$B$9:$B$28,0))))</f>
        <v/>
      </c>
      <c r="H41" s="8" t="str">
        <f>IF(LEN(C41)=0,"",IF(COUNTIFS(Elements!$B$9:$B$28,C41,Elements!$D$9:$D$28,"&lt;&gt;")=0,"",INDEX(Elements!$D$9:$D$28,MATCH(C41,Elements!$B$9:$B$28,0))))</f>
        <v/>
      </c>
      <c r="I41" s="8" t="str">
        <f t="shared" si="0"/>
        <v/>
      </c>
      <c r="J41" s="7" t="str">
        <f>IF(COUNTA(B41:F41)=0,"",IF(LEN(B41)=0,"Choose segment",IF(COUNTIF(Segments!$B$9:$B$38,B41)=0,"Unknown segment",IF(COUNTIFS(Segments!$B$9:$B$38,B41,Segments!$C$9:$C$38,"&lt;&gt;")=0,"Name segment",IF(LEN(C41)=0,"Choose element",IF(G41="","Name or correct element",IF(LEN(H41)=0,"Enter element weight",IF(NOT(ISNUMBER(H41)),"Numeric weight needed",IF(LEN(D41)=0,"Enter quantity",IF(NOT(ISNUMBER(D41)),"Numeric quantity needed",IF(D41&lt;0,"Quantity below zero","Ready")))))))))))</f>
        <v/>
      </c>
    </row>
    <row r="42" spans="1:10" ht="40" customHeight="1">
      <c r="A42" s="1"/>
      <c r="B42" s="4"/>
      <c r="C42" s="4"/>
      <c r="D42" s="15"/>
      <c r="E42" s="10"/>
      <c r="F42" s="10"/>
      <c r="G42" s="11" t="str">
        <f>IF(LEN(C42)=0,"",IF(COUNTIFS(Elements!$B$9:$B$28,C42,Elements!$C$9:$C$28,"&lt;&gt;")=0,"",INDEX(Elements!$C$9:$C$28,MATCH(C42,Elements!$B$9:$B$28,0))))</f>
        <v/>
      </c>
      <c r="H42" s="8" t="str">
        <f>IF(LEN(C42)=0,"",IF(COUNTIFS(Elements!$B$9:$B$28,C42,Elements!$D$9:$D$28,"&lt;&gt;")=0,"",INDEX(Elements!$D$9:$D$28,MATCH(C42,Elements!$B$9:$B$28,0))))</f>
        <v/>
      </c>
      <c r="I42" s="8" t="str">
        <f t="shared" si="0"/>
        <v/>
      </c>
      <c r="J42" s="7" t="str">
        <f>IF(COUNTA(B42:F42)=0,"",IF(LEN(B42)=0,"Choose segment",IF(COUNTIF(Segments!$B$9:$B$38,B42)=0,"Unknown segment",IF(COUNTIFS(Segments!$B$9:$B$38,B42,Segments!$C$9:$C$38,"&lt;&gt;")=0,"Name segment",IF(LEN(C42)=0,"Choose element",IF(G42="","Name or correct element",IF(LEN(H42)=0,"Enter element weight",IF(NOT(ISNUMBER(H42)),"Numeric weight needed",IF(LEN(D42)=0,"Enter quantity",IF(NOT(ISNUMBER(D42)),"Numeric quantity needed",IF(D42&lt;0,"Quantity below zero","Ready")))))))))))</f>
        <v/>
      </c>
    </row>
    <row r="43" spans="1:10" ht="40" customHeight="1">
      <c r="A43" s="1"/>
      <c r="B43" s="4"/>
      <c r="C43" s="4"/>
      <c r="D43" s="15"/>
      <c r="E43" s="10"/>
      <c r="F43" s="10"/>
      <c r="G43" s="11" t="str">
        <f>IF(LEN(C43)=0,"",IF(COUNTIFS(Elements!$B$9:$B$28,C43,Elements!$C$9:$C$28,"&lt;&gt;")=0,"",INDEX(Elements!$C$9:$C$28,MATCH(C43,Elements!$B$9:$B$28,0))))</f>
        <v/>
      </c>
      <c r="H43" s="8" t="str">
        <f>IF(LEN(C43)=0,"",IF(COUNTIFS(Elements!$B$9:$B$28,C43,Elements!$D$9:$D$28,"&lt;&gt;")=0,"",INDEX(Elements!$D$9:$D$28,MATCH(C43,Elements!$B$9:$B$28,0))))</f>
        <v/>
      </c>
      <c r="I43" s="8" t="str">
        <f t="shared" si="0"/>
        <v/>
      </c>
      <c r="J43" s="7" t="str">
        <f>IF(COUNTA(B43:F43)=0,"",IF(LEN(B43)=0,"Choose segment",IF(COUNTIF(Segments!$B$9:$B$38,B43)=0,"Unknown segment",IF(COUNTIFS(Segments!$B$9:$B$38,B43,Segments!$C$9:$C$38,"&lt;&gt;")=0,"Name segment",IF(LEN(C43)=0,"Choose element",IF(G43="","Name or correct element",IF(LEN(H43)=0,"Enter element weight",IF(NOT(ISNUMBER(H43)),"Numeric weight needed",IF(LEN(D43)=0,"Enter quantity",IF(NOT(ISNUMBER(D43)),"Numeric quantity needed",IF(D43&lt;0,"Quantity below zero","Ready")))))))))))</f>
        <v/>
      </c>
    </row>
    <row r="44" spans="1:10" ht="40" customHeight="1">
      <c r="A44" s="1"/>
      <c r="B44" s="4"/>
      <c r="C44" s="4"/>
      <c r="D44" s="15"/>
      <c r="E44" s="10"/>
      <c r="F44" s="10"/>
      <c r="G44" s="11" t="str">
        <f>IF(LEN(C44)=0,"",IF(COUNTIFS(Elements!$B$9:$B$28,C44,Elements!$C$9:$C$28,"&lt;&gt;")=0,"",INDEX(Elements!$C$9:$C$28,MATCH(C44,Elements!$B$9:$B$28,0))))</f>
        <v/>
      </c>
      <c r="H44" s="8" t="str">
        <f>IF(LEN(C44)=0,"",IF(COUNTIFS(Elements!$B$9:$B$28,C44,Elements!$D$9:$D$28,"&lt;&gt;")=0,"",INDEX(Elements!$D$9:$D$28,MATCH(C44,Elements!$B$9:$B$28,0))))</f>
        <v/>
      </c>
      <c r="I44" s="8" t="str">
        <f t="shared" si="0"/>
        <v/>
      </c>
      <c r="J44" s="7" t="str">
        <f>IF(COUNTA(B44:F44)=0,"",IF(LEN(B44)=0,"Choose segment",IF(COUNTIF(Segments!$B$9:$B$38,B44)=0,"Unknown segment",IF(COUNTIFS(Segments!$B$9:$B$38,B44,Segments!$C$9:$C$38,"&lt;&gt;")=0,"Name segment",IF(LEN(C44)=0,"Choose element",IF(G44="","Name or correct element",IF(LEN(H44)=0,"Enter element weight",IF(NOT(ISNUMBER(H44)),"Numeric weight needed",IF(LEN(D44)=0,"Enter quantity",IF(NOT(ISNUMBER(D44)),"Numeric quantity needed",IF(D44&lt;0,"Quantity below zero","Ready")))))))))))</f>
        <v/>
      </c>
    </row>
    <row r="45" spans="1:10" ht="40" customHeight="1">
      <c r="A45" s="1"/>
      <c r="B45" s="4"/>
      <c r="C45" s="4"/>
      <c r="D45" s="15"/>
      <c r="E45" s="10"/>
      <c r="F45" s="10"/>
      <c r="G45" s="11" t="str">
        <f>IF(LEN(C45)=0,"",IF(COUNTIFS(Elements!$B$9:$B$28,C45,Elements!$C$9:$C$28,"&lt;&gt;")=0,"",INDEX(Elements!$C$9:$C$28,MATCH(C45,Elements!$B$9:$B$28,0))))</f>
        <v/>
      </c>
      <c r="H45" s="8" t="str">
        <f>IF(LEN(C45)=0,"",IF(COUNTIFS(Elements!$B$9:$B$28,C45,Elements!$D$9:$D$28,"&lt;&gt;")=0,"",INDEX(Elements!$D$9:$D$28,MATCH(C45,Elements!$B$9:$B$28,0))))</f>
        <v/>
      </c>
      <c r="I45" s="8" t="str">
        <f t="shared" si="0"/>
        <v/>
      </c>
      <c r="J45" s="7" t="str">
        <f>IF(COUNTA(B45:F45)=0,"",IF(LEN(B45)=0,"Choose segment",IF(COUNTIF(Segments!$B$9:$B$38,B45)=0,"Unknown segment",IF(COUNTIFS(Segments!$B$9:$B$38,B45,Segments!$C$9:$C$38,"&lt;&gt;")=0,"Name segment",IF(LEN(C45)=0,"Choose element",IF(G45="","Name or correct element",IF(LEN(H45)=0,"Enter element weight",IF(NOT(ISNUMBER(H45)),"Numeric weight needed",IF(LEN(D45)=0,"Enter quantity",IF(NOT(ISNUMBER(D45)),"Numeric quantity needed",IF(D45&lt;0,"Quantity below zero","Ready")))))))))))</f>
        <v/>
      </c>
    </row>
    <row r="46" spans="1:10" ht="40" customHeight="1">
      <c r="A46" s="1"/>
      <c r="B46" s="4"/>
      <c r="C46" s="4"/>
      <c r="D46" s="15"/>
      <c r="E46" s="10"/>
      <c r="F46" s="10"/>
      <c r="G46" s="11" t="str">
        <f>IF(LEN(C46)=0,"",IF(COUNTIFS(Elements!$B$9:$B$28,C46,Elements!$C$9:$C$28,"&lt;&gt;")=0,"",INDEX(Elements!$C$9:$C$28,MATCH(C46,Elements!$B$9:$B$28,0))))</f>
        <v/>
      </c>
      <c r="H46" s="8" t="str">
        <f>IF(LEN(C46)=0,"",IF(COUNTIFS(Elements!$B$9:$B$28,C46,Elements!$D$9:$D$28,"&lt;&gt;")=0,"",INDEX(Elements!$D$9:$D$28,MATCH(C46,Elements!$B$9:$B$28,0))))</f>
        <v/>
      </c>
      <c r="I46" s="8" t="str">
        <f t="shared" si="0"/>
        <v/>
      </c>
      <c r="J46" s="7" t="str">
        <f>IF(COUNTA(B46:F46)=0,"",IF(LEN(B46)=0,"Choose segment",IF(COUNTIF(Segments!$B$9:$B$38,B46)=0,"Unknown segment",IF(COUNTIFS(Segments!$B$9:$B$38,B46,Segments!$C$9:$C$38,"&lt;&gt;")=0,"Name segment",IF(LEN(C46)=0,"Choose element",IF(G46="","Name or correct element",IF(LEN(H46)=0,"Enter element weight",IF(NOT(ISNUMBER(H46)),"Numeric weight needed",IF(LEN(D46)=0,"Enter quantity",IF(NOT(ISNUMBER(D46)),"Numeric quantity needed",IF(D46&lt;0,"Quantity below zero","Ready")))))))))))</f>
        <v/>
      </c>
    </row>
    <row r="47" spans="1:10" ht="40" customHeight="1">
      <c r="A47" s="1"/>
      <c r="B47" s="4"/>
      <c r="C47" s="4"/>
      <c r="D47" s="15"/>
      <c r="E47" s="10"/>
      <c r="F47" s="10"/>
      <c r="G47" s="11" t="str">
        <f>IF(LEN(C47)=0,"",IF(COUNTIFS(Elements!$B$9:$B$28,C47,Elements!$C$9:$C$28,"&lt;&gt;")=0,"",INDEX(Elements!$C$9:$C$28,MATCH(C47,Elements!$B$9:$B$28,0))))</f>
        <v/>
      </c>
      <c r="H47" s="8" t="str">
        <f>IF(LEN(C47)=0,"",IF(COUNTIFS(Elements!$B$9:$B$28,C47,Elements!$D$9:$D$28,"&lt;&gt;")=0,"",INDEX(Elements!$D$9:$D$28,MATCH(C47,Elements!$B$9:$B$28,0))))</f>
        <v/>
      </c>
      <c r="I47" s="8" t="str">
        <f t="shared" si="0"/>
        <v/>
      </c>
      <c r="J47" s="7" t="str">
        <f>IF(COUNTA(B47:F47)=0,"",IF(LEN(B47)=0,"Choose segment",IF(COUNTIF(Segments!$B$9:$B$38,B47)=0,"Unknown segment",IF(COUNTIFS(Segments!$B$9:$B$38,B47,Segments!$C$9:$C$38,"&lt;&gt;")=0,"Name segment",IF(LEN(C47)=0,"Choose element",IF(G47="","Name or correct element",IF(LEN(H47)=0,"Enter element weight",IF(NOT(ISNUMBER(H47)),"Numeric weight needed",IF(LEN(D47)=0,"Enter quantity",IF(NOT(ISNUMBER(D47)),"Numeric quantity needed",IF(D47&lt;0,"Quantity below zero","Ready")))))))))))</f>
        <v/>
      </c>
    </row>
    <row r="48" spans="1:10" ht="40" customHeight="1">
      <c r="A48" s="1"/>
      <c r="B48" s="4"/>
      <c r="C48" s="4"/>
      <c r="D48" s="15"/>
      <c r="E48" s="10"/>
      <c r="F48" s="10"/>
      <c r="G48" s="11" t="str">
        <f>IF(LEN(C48)=0,"",IF(COUNTIFS(Elements!$B$9:$B$28,C48,Elements!$C$9:$C$28,"&lt;&gt;")=0,"",INDEX(Elements!$C$9:$C$28,MATCH(C48,Elements!$B$9:$B$28,0))))</f>
        <v/>
      </c>
      <c r="H48" s="8" t="str">
        <f>IF(LEN(C48)=0,"",IF(COUNTIFS(Elements!$B$9:$B$28,C48,Elements!$D$9:$D$28,"&lt;&gt;")=0,"",INDEX(Elements!$D$9:$D$28,MATCH(C48,Elements!$B$9:$B$28,0))))</f>
        <v/>
      </c>
      <c r="I48" s="8" t="str">
        <f t="shared" si="0"/>
        <v/>
      </c>
      <c r="J48" s="7" t="str">
        <f>IF(COUNTA(B48:F48)=0,"",IF(LEN(B48)=0,"Choose segment",IF(COUNTIF(Segments!$B$9:$B$38,B48)=0,"Unknown segment",IF(COUNTIFS(Segments!$B$9:$B$38,B48,Segments!$C$9:$C$38,"&lt;&gt;")=0,"Name segment",IF(LEN(C48)=0,"Choose element",IF(G48="","Name or correct element",IF(LEN(H48)=0,"Enter element weight",IF(NOT(ISNUMBER(H48)),"Numeric weight needed",IF(LEN(D48)=0,"Enter quantity",IF(NOT(ISNUMBER(D48)),"Numeric quantity needed",IF(D48&lt;0,"Quantity below zero","Ready")))))))))))</f>
        <v/>
      </c>
    </row>
    <row r="49" spans="1:10" ht="40" customHeight="1">
      <c r="A49" s="1"/>
      <c r="B49" s="4"/>
      <c r="C49" s="4"/>
      <c r="D49" s="15"/>
      <c r="E49" s="10"/>
      <c r="F49" s="10"/>
      <c r="G49" s="11" t="str">
        <f>IF(LEN(C49)=0,"",IF(COUNTIFS(Elements!$B$9:$B$28,C49,Elements!$C$9:$C$28,"&lt;&gt;")=0,"",INDEX(Elements!$C$9:$C$28,MATCH(C49,Elements!$B$9:$B$28,0))))</f>
        <v/>
      </c>
      <c r="H49" s="8" t="str">
        <f>IF(LEN(C49)=0,"",IF(COUNTIFS(Elements!$B$9:$B$28,C49,Elements!$D$9:$D$28,"&lt;&gt;")=0,"",INDEX(Elements!$D$9:$D$28,MATCH(C49,Elements!$B$9:$B$28,0))))</f>
        <v/>
      </c>
      <c r="I49" s="8" t="str">
        <f t="shared" si="0"/>
        <v/>
      </c>
      <c r="J49" s="7" t="str">
        <f>IF(COUNTA(B49:F49)=0,"",IF(LEN(B49)=0,"Choose segment",IF(COUNTIF(Segments!$B$9:$B$38,B49)=0,"Unknown segment",IF(COUNTIFS(Segments!$B$9:$B$38,B49,Segments!$C$9:$C$38,"&lt;&gt;")=0,"Name segment",IF(LEN(C49)=0,"Choose element",IF(G49="","Name or correct element",IF(LEN(H49)=0,"Enter element weight",IF(NOT(ISNUMBER(H49)),"Numeric weight needed",IF(LEN(D49)=0,"Enter quantity",IF(NOT(ISNUMBER(D49)),"Numeric quantity needed",IF(D49&lt;0,"Quantity below zero","Ready")))))))))))</f>
        <v/>
      </c>
    </row>
    <row r="50" spans="1:10" ht="40" customHeight="1">
      <c r="A50" s="1"/>
      <c r="B50" s="4"/>
      <c r="C50" s="4"/>
      <c r="D50" s="15"/>
      <c r="E50" s="10"/>
      <c r="F50" s="10"/>
      <c r="G50" s="11" t="str">
        <f>IF(LEN(C50)=0,"",IF(COUNTIFS(Elements!$B$9:$B$28,C50,Elements!$C$9:$C$28,"&lt;&gt;")=0,"",INDEX(Elements!$C$9:$C$28,MATCH(C50,Elements!$B$9:$B$28,0))))</f>
        <v/>
      </c>
      <c r="H50" s="8" t="str">
        <f>IF(LEN(C50)=0,"",IF(COUNTIFS(Elements!$B$9:$B$28,C50,Elements!$D$9:$D$28,"&lt;&gt;")=0,"",INDEX(Elements!$D$9:$D$28,MATCH(C50,Elements!$B$9:$B$28,0))))</f>
        <v/>
      </c>
      <c r="I50" s="8" t="str">
        <f t="shared" si="0"/>
        <v/>
      </c>
      <c r="J50" s="7" t="str">
        <f>IF(COUNTA(B50:F50)=0,"",IF(LEN(B50)=0,"Choose segment",IF(COUNTIF(Segments!$B$9:$B$38,B50)=0,"Unknown segment",IF(COUNTIFS(Segments!$B$9:$B$38,B50,Segments!$C$9:$C$38,"&lt;&gt;")=0,"Name segment",IF(LEN(C50)=0,"Choose element",IF(G50="","Name or correct element",IF(LEN(H50)=0,"Enter element weight",IF(NOT(ISNUMBER(H50)),"Numeric weight needed",IF(LEN(D50)=0,"Enter quantity",IF(NOT(ISNUMBER(D50)),"Numeric quantity needed",IF(D50&lt;0,"Quantity below zero","Ready")))))))))))</f>
        <v/>
      </c>
    </row>
    <row r="51" spans="1:10" ht="40" customHeight="1">
      <c r="A51" s="1"/>
      <c r="B51" s="4"/>
      <c r="C51" s="4"/>
      <c r="D51" s="15"/>
      <c r="E51" s="10"/>
      <c r="F51" s="10"/>
      <c r="G51" s="11" t="str">
        <f>IF(LEN(C51)=0,"",IF(COUNTIFS(Elements!$B$9:$B$28,C51,Elements!$C$9:$C$28,"&lt;&gt;")=0,"",INDEX(Elements!$C$9:$C$28,MATCH(C51,Elements!$B$9:$B$28,0))))</f>
        <v/>
      </c>
      <c r="H51" s="8" t="str">
        <f>IF(LEN(C51)=0,"",IF(COUNTIFS(Elements!$B$9:$B$28,C51,Elements!$D$9:$D$28,"&lt;&gt;")=0,"",INDEX(Elements!$D$9:$D$28,MATCH(C51,Elements!$B$9:$B$28,0))))</f>
        <v/>
      </c>
      <c r="I51" s="8" t="str">
        <f t="shared" si="0"/>
        <v/>
      </c>
      <c r="J51" s="7" t="str">
        <f>IF(COUNTA(B51:F51)=0,"",IF(LEN(B51)=0,"Choose segment",IF(COUNTIF(Segments!$B$9:$B$38,B51)=0,"Unknown segment",IF(COUNTIFS(Segments!$B$9:$B$38,B51,Segments!$C$9:$C$38,"&lt;&gt;")=0,"Name segment",IF(LEN(C51)=0,"Choose element",IF(G51="","Name or correct element",IF(LEN(H51)=0,"Enter element weight",IF(NOT(ISNUMBER(H51)),"Numeric weight needed",IF(LEN(D51)=0,"Enter quantity",IF(NOT(ISNUMBER(D51)),"Numeric quantity needed",IF(D51&lt;0,"Quantity below zero","Ready")))))))))))</f>
        <v/>
      </c>
    </row>
    <row r="52" spans="1:10" ht="40" customHeight="1">
      <c r="A52" s="1"/>
      <c r="B52" s="4"/>
      <c r="C52" s="4"/>
      <c r="D52" s="15"/>
      <c r="E52" s="10"/>
      <c r="F52" s="10"/>
      <c r="G52" s="11" t="str">
        <f>IF(LEN(C52)=0,"",IF(COUNTIFS(Elements!$B$9:$B$28,C52,Elements!$C$9:$C$28,"&lt;&gt;")=0,"",INDEX(Elements!$C$9:$C$28,MATCH(C52,Elements!$B$9:$B$28,0))))</f>
        <v/>
      </c>
      <c r="H52" s="8" t="str">
        <f>IF(LEN(C52)=0,"",IF(COUNTIFS(Elements!$B$9:$B$28,C52,Elements!$D$9:$D$28,"&lt;&gt;")=0,"",INDEX(Elements!$D$9:$D$28,MATCH(C52,Elements!$B$9:$B$28,0))))</f>
        <v/>
      </c>
      <c r="I52" s="8" t="str">
        <f t="shared" si="0"/>
        <v/>
      </c>
      <c r="J52" s="7" t="str">
        <f>IF(COUNTA(B52:F52)=0,"",IF(LEN(B52)=0,"Choose segment",IF(COUNTIF(Segments!$B$9:$B$38,B52)=0,"Unknown segment",IF(COUNTIFS(Segments!$B$9:$B$38,B52,Segments!$C$9:$C$38,"&lt;&gt;")=0,"Name segment",IF(LEN(C52)=0,"Choose element",IF(G52="","Name or correct element",IF(LEN(H52)=0,"Enter element weight",IF(NOT(ISNUMBER(H52)),"Numeric weight needed",IF(LEN(D52)=0,"Enter quantity",IF(NOT(ISNUMBER(D52)),"Numeric quantity needed",IF(D52&lt;0,"Quantity below zero","Ready")))))))))))</f>
        <v/>
      </c>
    </row>
    <row r="53" spans="1:10" ht="40" customHeight="1">
      <c r="A53" s="1"/>
      <c r="B53" s="4"/>
      <c r="C53" s="4"/>
      <c r="D53" s="15"/>
      <c r="E53" s="10"/>
      <c r="F53" s="10"/>
      <c r="G53" s="11" t="str">
        <f>IF(LEN(C53)=0,"",IF(COUNTIFS(Elements!$B$9:$B$28,C53,Elements!$C$9:$C$28,"&lt;&gt;")=0,"",INDEX(Elements!$C$9:$C$28,MATCH(C53,Elements!$B$9:$B$28,0))))</f>
        <v/>
      </c>
      <c r="H53" s="8" t="str">
        <f>IF(LEN(C53)=0,"",IF(COUNTIFS(Elements!$B$9:$B$28,C53,Elements!$D$9:$D$28,"&lt;&gt;")=0,"",INDEX(Elements!$D$9:$D$28,MATCH(C53,Elements!$B$9:$B$28,0))))</f>
        <v/>
      </c>
      <c r="I53" s="8" t="str">
        <f t="shared" si="0"/>
        <v/>
      </c>
      <c r="J53" s="7" t="str">
        <f>IF(COUNTA(B53:F53)=0,"",IF(LEN(B53)=0,"Choose segment",IF(COUNTIF(Segments!$B$9:$B$38,B53)=0,"Unknown segment",IF(COUNTIFS(Segments!$B$9:$B$38,B53,Segments!$C$9:$C$38,"&lt;&gt;")=0,"Name segment",IF(LEN(C53)=0,"Choose element",IF(G53="","Name or correct element",IF(LEN(H53)=0,"Enter element weight",IF(NOT(ISNUMBER(H53)),"Numeric weight needed",IF(LEN(D53)=0,"Enter quantity",IF(NOT(ISNUMBER(D53)),"Numeric quantity needed",IF(D53&lt;0,"Quantity below zero","Ready")))))))))))</f>
        <v/>
      </c>
    </row>
    <row r="54" spans="1:10" ht="40" customHeight="1">
      <c r="A54" s="1"/>
      <c r="B54" s="4"/>
      <c r="C54" s="4"/>
      <c r="D54" s="15"/>
      <c r="E54" s="10"/>
      <c r="F54" s="10"/>
      <c r="G54" s="11" t="str">
        <f>IF(LEN(C54)=0,"",IF(COUNTIFS(Elements!$B$9:$B$28,C54,Elements!$C$9:$C$28,"&lt;&gt;")=0,"",INDEX(Elements!$C$9:$C$28,MATCH(C54,Elements!$B$9:$B$28,0))))</f>
        <v/>
      </c>
      <c r="H54" s="8" t="str">
        <f>IF(LEN(C54)=0,"",IF(COUNTIFS(Elements!$B$9:$B$28,C54,Elements!$D$9:$D$28,"&lt;&gt;")=0,"",INDEX(Elements!$D$9:$D$28,MATCH(C54,Elements!$B$9:$B$28,0))))</f>
        <v/>
      </c>
      <c r="I54" s="8" t="str">
        <f t="shared" si="0"/>
        <v/>
      </c>
      <c r="J54" s="7" t="str">
        <f>IF(COUNTA(B54:F54)=0,"",IF(LEN(B54)=0,"Choose segment",IF(COUNTIF(Segments!$B$9:$B$38,B54)=0,"Unknown segment",IF(COUNTIFS(Segments!$B$9:$B$38,B54,Segments!$C$9:$C$38,"&lt;&gt;")=0,"Name segment",IF(LEN(C54)=0,"Choose element",IF(G54="","Name or correct element",IF(LEN(H54)=0,"Enter element weight",IF(NOT(ISNUMBER(H54)),"Numeric weight needed",IF(LEN(D54)=0,"Enter quantity",IF(NOT(ISNUMBER(D54)),"Numeric quantity needed",IF(D54&lt;0,"Quantity below zero","Ready")))))))))))</f>
        <v/>
      </c>
    </row>
    <row r="55" spans="1:10" ht="40" customHeight="1">
      <c r="A55" s="1"/>
      <c r="B55" s="4"/>
      <c r="C55" s="4"/>
      <c r="D55" s="15"/>
      <c r="E55" s="10"/>
      <c r="F55" s="10"/>
      <c r="G55" s="11" t="str">
        <f>IF(LEN(C55)=0,"",IF(COUNTIFS(Elements!$B$9:$B$28,C55,Elements!$C$9:$C$28,"&lt;&gt;")=0,"",INDEX(Elements!$C$9:$C$28,MATCH(C55,Elements!$B$9:$B$28,0))))</f>
        <v/>
      </c>
      <c r="H55" s="8" t="str">
        <f>IF(LEN(C55)=0,"",IF(COUNTIFS(Elements!$B$9:$B$28,C55,Elements!$D$9:$D$28,"&lt;&gt;")=0,"",INDEX(Elements!$D$9:$D$28,MATCH(C55,Elements!$B$9:$B$28,0))))</f>
        <v/>
      </c>
      <c r="I55" s="8" t="str">
        <f t="shared" si="0"/>
        <v/>
      </c>
      <c r="J55" s="7" t="str">
        <f>IF(COUNTA(B55:F55)=0,"",IF(LEN(B55)=0,"Choose segment",IF(COUNTIF(Segments!$B$9:$B$38,B55)=0,"Unknown segment",IF(COUNTIFS(Segments!$B$9:$B$38,B55,Segments!$C$9:$C$38,"&lt;&gt;")=0,"Name segment",IF(LEN(C55)=0,"Choose element",IF(G55="","Name or correct element",IF(LEN(H55)=0,"Enter element weight",IF(NOT(ISNUMBER(H55)),"Numeric weight needed",IF(LEN(D55)=0,"Enter quantity",IF(NOT(ISNUMBER(D55)),"Numeric quantity needed",IF(D55&lt;0,"Quantity below zero","Ready")))))))))))</f>
        <v/>
      </c>
    </row>
    <row r="56" spans="1:10" ht="40" customHeight="1">
      <c r="A56" s="1"/>
      <c r="B56" s="4"/>
      <c r="C56" s="4"/>
      <c r="D56" s="15"/>
      <c r="E56" s="10"/>
      <c r="F56" s="10"/>
      <c r="G56" s="11" t="str">
        <f>IF(LEN(C56)=0,"",IF(COUNTIFS(Elements!$B$9:$B$28,C56,Elements!$C$9:$C$28,"&lt;&gt;")=0,"",INDEX(Elements!$C$9:$C$28,MATCH(C56,Elements!$B$9:$B$28,0))))</f>
        <v/>
      </c>
      <c r="H56" s="8" t="str">
        <f>IF(LEN(C56)=0,"",IF(COUNTIFS(Elements!$B$9:$B$28,C56,Elements!$D$9:$D$28,"&lt;&gt;")=0,"",INDEX(Elements!$D$9:$D$28,MATCH(C56,Elements!$B$9:$B$28,0))))</f>
        <v/>
      </c>
      <c r="I56" s="8" t="str">
        <f t="shared" si="0"/>
        <v/>
      </c>
      <c r="J56" s="7" t="str">
        <f>IF(COUNTA(B56:F56)=0,"",IF(LEN(B56)=0,"Choose segment",IF(COUNTIF(Segments!$B$9:$B$38,B56)=0,"Unknown segment",IF(COUNTIFS(Segments!$B$9:$B$38,B56,Segments!$C$9:$C$38,"&lt;&gt;")=0,"Name segment",IF(LEN(C56)=0,"Choose element",IF(G56="","Name or correct element",IF(LEN(H56)=0,"Enter element weight",IF(NOT(ISNUMBER(H56)),"Numeric weight needed",IF(LEN(D56)=0,"Enter quantity",IF(NOT(ISNUMBER(D56)),"Numeric quantity needed",IF(D56&lt;0,"Quantity below zero","Ready")))))))))))</f>
        <v/>
      </c>
    </row>
    <row r="57" spans="1:10" ht="40" customHeight="1">
      <c r="A57" s="1"/>
      <c r="B57" s="4"/>
      <c r="C57" s="4"/>
      <c r="D57" s="15"/>
      <c r="E57" s="10"/>
      <c r="F57" s="10"/>
      <c r="G57" s="11" t="str">
        <f>IF(LEN(C57)=0,"",IF(COUNTIFS(Elements!$B$9:$B$28,C57,Elements!$C$9:$C$28,"&lt;&gt;")=0,"",INDEX(Elements!$C$9:$C$28,MATCH(C57,Elements!$B$9:$B$28,0))))</f>
        <v/>
      </c>
      <c r="H57" s="8" t="str">
        <f>IF(LEN(C57)=0,"",IF(COUNTIFS(Elements!$B$9:$B$28,C57,Elements!$D$9:$D$28,"&lt;&gt;")=0,"",INDEX(Elements!$D$9:$D$28,MATCH(C57,Elements!$B$9:$B$28,0))))</f>
        <v/>
      </c>
      <c r="I57" s="8" t="str">
        <f t="shared" si="0"/>
        <v/>
      </c>
      <c r="J57" s="7" t="str">
        <f>IF(COUNTA(B57:F57)=0,"",IF(LEN(B57)=0,"Choose segment",IF(COUNTIF(Segments!$B$9:$B$38,B57)=0,"Unknown segment",IF(COUNTIFS(Segments!$B$9:$B$38,B57,Segments!$C$9:$C$38,"&lt;&gt;")=0,"Name segment",IF(LEN(C57)=0,"Choose element",IF(G57="","Name or correct element",IF(LEN(H57)=0,"Enter element weight",IF(NOT(ISNUMBER(H57)),"Numeric weight needed",IF(LEN(D57)=0,"Enter quantity",IF(NOT(ISNUMBER(D57)),"Numeric quantity needed",IF(D57&lt;0,"Quantity below zero","Ready")))))))))))</f>
        <v/>
      </c>
    </row>
    <row r="58" spans="1:10" ht="40" customHeight="1">
      <c r="A58" s="1"/>
      <c r="B58" s="4"/>
      <c r="C58" s="4"/>
      <c r="D58" s="15"/>
      <c r="E58" s="10"/>
      <c r="F58" s="10"/>
      <c r="G58" s="11" t="str">
        <f>IF(LEN(C58)=0,"",IF(COUNTIFS(Elements!$B$9:$B$28,C58,Elements!$C$9:$C$28,"&lt;&gt;")=0,"",INDEX(Elements!$C$9:$C$28,MATCH(C58,Elements!$B$9:$B$28,0))))</f>
        <v/>
      </c>
      <c r="H58" s="8" t="str">
        <f>IF(LEN(C58)=0,"",IF(COUNTIFS(Elements!$B$9:$B$28,C58,Elements!$D$9:$D$28,"&lt;&gt;")=0,"",INDEX(Elements!$D$9:$D$28,MATCH(C58,Elements!$B$9:$B$28,0))))</f>
        <v/>
      </c>
      <c r="I58" s="8" t="str">
        <f t="shared" si="0"/>
        <v/>
      </c>
      <c r="J58" s="7" t="str">
        <f>IF(COUNTA(B58:F58)=0,"",IF(LEN(B58)=0,"Choose segment",IF(COUNTIF(Segments!$B$9:$B$38,B58)=0,"Unknown segment",IF(COUNTIFS(Segments!$B$9:$B$38,B58,Segments!$C$9:$C$38,"&lt;&gt;")=0,"Name segment",IF(LEN(C58)=0,"Choose element",IF(G58="","Name or correct element",IF(LEN(H58)=0,"Enter element weight",IF(NOT(ISNUMBER(H58)),"Numeric weight needed",IF(LEN(D58)=0,"Enter quantity",IF(NOT(ISNUMBER(D58)),"Numeric quantity needed",IF(D58&lt;0,"Quantity below zero","Ready")))))))))))</f>
        <v/>
      </c>
    </row>
    <row r="59" spans="1:10" ht="40" customHeight="1">
      <c r="A59" s="1"/>
      <c r="B59" s="4"/>
      <c r="C59" s="4"/>
      <c r="D59" s="15"/>
      <c r="E59" s="10"/>
      <c r="F59" s="10"/>
      <c r="G59" s="11" t="str">
        <f>IF(LEN(C59)=0,"",IF(COUNTIFS(Elements!$B$9:$B$28,C59,Elements!$C$9:$C$28,"&lt;&gt;")=0,"",INDEX(Elements!$C$9:$C$28,MATCH(C59,Elements!$B$9:$B$28,0))))</f>
        <v/>
      </c>
      <c r="H59" s="8" t="str">
        <f>IF(LEN(C59)=0,"",IF(COUNTIFS(Elements!$B$9:$B$28,C59,Elements!$D$9:$D$28,"&lt;&gt;")=0,"",INDEX(Elements!$D$9:$D$28,MATCH(C59,Elements!$B$9:$B$28,0))))</f>
        <v/>
      </c>
      <c r="I59" s="8" t="str">
        <f t="shared" si="0"/>
        <v/>
      </c>
      <c r="J59" s="7" t="str">
        <f>IF(COUNTA(B59:F59)=0,"",IF(LEN(B59)=0,"Choose segment",IF(COUNTIF(Segments!$B$9:$B$38,B59)=0,"Unknown segment",IF(COUNTIFS(Segments!$B$9:$B$38,B59,Segments!$C$9:$C$38,"&lt;&gt;")=0,"Name segment",IF(LEN(C59)=0,"Choose element",IF(G59="","Name or correct element",IF(LEN(H59)=0,"Enter element weight",IF(NOT(ISNUMBER(H59)),"Numeric weight needed",IF(LEN(D59)=0,"Enter quantity",IF(NOT(ISNUMBER(D59)),"Numeric quantity needed",IF(D59&lt;0,"Quantity below zero","Ready")))))))))))</f>
        <v/>
      </c>
    </row>
    <row r="60" spans="1:10" ht="40" customHeight="1">
      <c r="A60" s="1"/>
      <c r="B60" s="4"/>
      <c r="C60" s="4"/>
      <c r="D60" s="15"/>
      <c r="E60" s="10"/>
      <c r="F60" s="10"/>
      <c r="G60" s="11" t="str">
        <f>IF(LEN(C60)=0,"",IF(COUNTIFS(Elements!$B$9:$B$28,C60,Elements!$C$9:$C$28,"&lt;&gt;")=0,"",INDEX(Elements!$C$9:$C$28,MATCH(C60,Elements!$B$9:$B$28,0))))</f>
        <v/>
      </c>
      <c r="H60" s="8" t="str">
        <f>IF(LEN(C60)=0,"",IF(COUNTIFS(Elements!$B$9:$B$28,C60,Elements!$D$9:$D$28,"&lt;&gt;")=0,"",INDEX(Elements!$D$9:$D$28,MATCH(C60,Elements!$B$9:$B$28,0))))</f>
        <v/>
      </c>
      <c r="I60" s="8" t="str">
        <f t="shared" si="0"/>
        <v/>
      </c>
      <c r="J60" s="7" t="str">
        <f>IF(COUNTA(B60:F60)=0,"",IF(LEN(B60)=0,"Choose segment",IF(COUNTIF(Segments!$B$9:$B$38,B60)=0,"Unknown segment",IF(COUNTIFS(Segments!$B$9:$B$38,B60,Segments!$C$9:$C$38,"&lt;&gt;")=0,"Name segment",IF(LEN(C60)=0,"Choose element",IF(G60="","Name or correct element",IF(LEN(H60)=0,"Enter element weight",IF(NOT(ISNUMBER(H60)),"Numeric weight needed",IF(LEN(D60)=0,"Enter quantity",IF(NOT(ISNUMBER(D60)),"Numeric quantity needed",IF(D60&lt;0,"Quantity below zero","Ready")))))))))))</f>
        <v/>
      </c>
    </row>
    <row r="61" spans="1:10" ht="40" customHeight="1">
      <c r="A61" s="1"/>
      <c r="B61" s="4"/>
      <c r="C61" s="4"/>
      <c r="D61" s="15"/>
      <c r="E61" s="10"/>
      <c r="F61" s="10"/>
      <c r="G61" s="11" t="str">
        <f>IF(LEN(C61)=0,"",IF(COUNTIFS(Elements!$B$9:$B$28,C61,Elements!$C$9:$C$28,"&lt;&gt;")=0,"",INDEX(Elements!$C$9:$C$28,MATCH(C61,Elements!$B$9:$B$28,0))))</f>
        <v/>
      </c>
      <c r="H61" s="8" t="str">
        <f>IF(LEN(C61)=0,"",IF(COUNTIFS(Elements!$B$9:$B$28,C61,Elements!$D$9:$D$28,"&lt;&gt;")=0,"",INDEX(Elements!$D$9:$D$28,MATCH(C61,Elements!$B$9:$B$28,0))))</f>
        <v/>
      </c>
      <c r="I61" s="8" t="str">
        <f t="shared" si="0"/>
        <v/>
      </c>
      <c r="J61" s="7" t="str">
        <f>IF(COUNTA(B61:F61)=0,"",IF(LEN(B61)=0,"Choose segment",IF(COUNTIF(Segments!$B$9:$B$38,B61)=0,"Unknown segment",IF(COUNTIFS(Segments!$B$9:$B$38,B61,Segments!$C$9:$C$38,"&lt;&gt;")=0,"Name segment",IF(LEN(C61)=0,"Choose element",IF(G61="","Name or correct element",IF(LEN(H61)=0,"Enter element weight",IF(NOT(ISNUMBER(H61)),"Numeric weight needed",IF(LEN(D61)=0,"Enter quantity",IF(NOT(ISNUMBER(D61)),"Numeric quantity needed",IF(D61&lt;0,"Quantity below zero","Ready")))))))))))</f>
        <v/>
      </c>
    </row>
    <row r="62" spans="1:10" ht="40" customHeight="1">
      <c r="A62" s="1"/>
      <c r="B62" s="4"/>
      <c r="C62" s="4"/>
      <c r="D62" s="15"/>
      <c r="E62" s="10"/>
      <c r="F62" s="10"/>
      <c r="G62" s="11" t="str">
        <f>IF(LEN(C62)=0,"",IF(COUNTIFS(Elements!$B$9:$B$28,C62,Elements!$C$9:$C$28,"&lt;&gt;")=0,"",INDEX(Elements!$C$9:$C$28,MATCH(C62,Elements!$B$9:$B$28,0))))</f>
        <v/>
      </c>
      <c r="H62" s="8" t="str">
        <f>IF(LEN(C62)=0,"",IF(COUNTIFS(Elements!$B$9:$B$28,C62,Elements!$D$9:$D$28,"&lt;&gt;")=0,"",INDEX(Elements!$D$9:$D$28,MATCH(C62,Elements!$B$9:$B$28,0))))</f>
        <v/>
      </c>
      <c r="I62" s="8" t="str">
        <f t="shared" si="0"/>
        <v/>
      </c>
      <c r="J62" s="7" t="str">
        <f>IF(COUNTA(B62:F62)=0,"",IF(LEN(B62)=0,"Choose segment",IF(COUNTIF(Segments!$B$9:$B$38,B62)=0,"Unknown segment",IF(COUNTIFS(Segments!$B$9:$B$38,B62,Segments!$C$9:$C$38,"&lt;&gt;")=0,"Name segment",IF(LEN(C62)=0,"Choose element",IF(G62="","Name or correct element",IF(LEN(H62)=0,"Enter element weight",IF(NOT(ISNUMBER(H62)),"Numeric weight needed",IF(LEN(D62)=0,"Enter quantity",IF(NOT(ISNUMBER(D62)),"Numeric quantity needed",IF(D62&lt;0,"Quantity below zero","Ready")))))))))))</f>
        <v/>
      </c>
    </row>
    <row r="63" spans="1:10" ht="40" customHeight="1">
      <c r="A63" s="1"/>
      <c r="B63" s="4"/>
      <c r="C63" s="4"/>
      <c r="D63" s="15"/>
      <c r="E63" s="10"/>
      <c r="F63" s="10"/>
      <c r="G63" s="11" t="str">
        <f>IF(LEN(C63)=0,"",IF(COUNTIFS(Elements!$B$9:$B$28,C63,Elements!$C$9:$C$28,"&lt;&gt;")=0,"",INDEX(Elements!$C$9:$C$28,MATCH(C63,Elements!$B$9:$B$28,0))))</f>
        <v/>
      </c>
      <c r="H63" s="8" t="str">
        <f>IF(LEN(C63)=0,"",IF(COUNTIFS(Elements!$B$9:$B$28,C63,Elements!$D$9:$D$28,"&lt;&gt;")=0,"",INDEX(Elements!$D$9:$D$28,MATCH(C63,Elements!$B$9:$B$28,0))))</f>
        <v/>
      </c>
      <c r="I63" s="8" t="str">
        <f t="shared" si="0"/>
        <v/>
      </c>
      <c r="J63" s="7" t="str">
        <f>IF(COUNTA(B63:F63)=0,"",IF(LEN(B63)=0,"Choose segment",IF(COUNTIF(Segments!$B$9:$B$38,B63)=0,"Unknown segment",IF(COUNTIFS(Segments!$B$9:$B$38,B63,Segments!$C$9:$C$38,"&lt;&gt;")=0,"Name segment",IF(LEN(C63)=0,"Choose element",IF(G63="","Name or correct element",IF(LEN(H63)=0,"Enter element weight",IF(NOT(ISNUMBER(H63)),"Numeric weight needed",IF(LEN(D63)=0,"Enter quantity",IF(NOT(ISNUMBER(D63)),"Numeric quantity needed",IF(D63&lt;0,"Quantity below zero","Ready")))))))))))</f>
        <v/>
      </c>
    </row>
    <row r="64" spans="1:10" ht="40" customHeight="1">
      <c r="A64" s="1"/>
      <c r="B64" s="4"/>
      <c r="C64" s="4"/>
      <c r="D64" s="15"/>
      <c r="E64" s="10"/>
      <c r="F64" s="10"/>
      <c r="G64" s="11" t="str">
        <f>IF(LEN(C64)=0,"",IF(COUNTIFS(Elements!$B$9:$B$28,C64,Elements!$C$9:$C$28,"&lt;&gt;")=0,"",INDEX(Elements!$C$9:$C$28,MATCH(C64,Elements!$B$9:$B$28,0))))</f>
        <v/>
      </c>
      <c r="H64" s="8" t="str">
        <f>IF(LEN(C64)=0,"",IF(COUNTIFS(Elements!$B$9:$B$28,C64,Elements!$D$9:$D$28,"&lt;&gt;")=0,"",INDEX(Elements!$D$9:$D$28,MATCH(C64,Elements!$B$9:$B$28,0))))</f>
        <v/>
      </c>
      <c r="I64" s="8" t="str">
        <f t="shared" si="0"/>
        <v/>
      </c>
      <c r="J64" s="7" t="str">
        <f>IF(COUNTA(B64:F64)=0,"",IF(LEN(B64)=0,"Choose segment",IF(COUNTIF(Segments!$B$9:$B$38,B64)=0,"Unknown segment",IF(COUNTIFS(Segments!$B$9:$B$38,B64,Segments!$C$9:$C$38,"&lt;&gt;")=0,"Name segment",IF(LEN(C64)=0,"Choose element",IF(G64="","Name or correct element",IF(LEN(H64)=0,"Enter element weight",IF(NOT(ISNUMBER(H64)),"Numeric weight needed",IF(LEN(D64)=0,"Enter quantity",IF(NOT(ISNUMBER(D64)),"Numeric quantity needed",IF(D64&lt;0,"Quantity below zero","Ready")))))))))))</f>
        <v/>
      </c>
    </row>
    <row r="65" spans="1:10" ht="40" customHeight="1">
      <c r="A65" s="1"/>
      <c r="B65" s="4"/>
      <c r="C65" s="4"/>
      <c r="D65" s="15"/>
      <c r="E65" s="10"/>
      <c r="F65" s="10"/>
      <c r="G65" s="11" t="str">
        <f>IF(LEN(C65)=0,"",IF(COUNTIFS(Elements!$B$9:$B$28,C65,Elements!$C$9:$C$28,"&lt;&gt;")=0,"",INDEX(Elements!$C$9:$C$28,MATCH(C65,Elements!$B$9:$B$28,0))))</f>
        <v/>
      </c>
      <c r="H65" s="8" t="str">
        <f>IF(LEN(C65)=0,"",IF(COUNTIFS(Elements!$B$9:$B$28,C65,Elements!$D$9:$D$28,"&lt;&gt;")=0,"",INDEX(Elements!$D$9:$D$28,MATCH(C65,Elements!$B$9:$B$28,0))))</f>
        <v/>
      </c>
      <c r="I65" s="8" t="str">
        <f t="shared" si="0"/>
        <v/>
      </c>
      <c r="J65" s="7" t="str">
        <f>IF(COUNTA(B65:F65)=0,"",IF(LEN(B65)=0,"Choose segment",IF(COUNTIF(Segments!$B$9:$B$38,B65)=0,"Unknown segment",IF(COUNTIFS(Segments!$B$9:$B$38,B65,Segments!$C$9:$C$38,"&lt;&gt;")=0,"Name segment",IF(LEN(C65)=0,"Choose element",IF(G65="","Name or correct element",IF(LEN(H65)=0,"Enter element weight",IF(NOT(ISNUMBER(H65)),"Numeric weight needed",IF(LEN(D65)=0,"Enter quantity",IF(NOT(ISNUMBER(D65)),"Numeric quantity needed",IF(D65&lt;0,"Quantity below zero","Ready")))))))))))</f>
        <v/>
      </c>
    </row>
    <row r="66" spans="1:10" ht="40" customHeight="1">
      <c r="A66" s="1"/>
      <c r="B66" s="4"/>
      <c r="C66" s="4"/>
      <c r="D66" s="15"/>
      <c r="E66" s="10"/>
      <c r="F66" s="10"/>
      <c r="G66" s="11" t="str">
        <f>IF(LEN(C66)=0,"",IF(COUNTIFS(Elements!$B$9:$B$28,C66,Elements!$C$9:$C$28,"&lt;&gt;")=0,"",INDEX(Elements!$C$9:$C$28,MATCH(C66,Elements!$B$9:$B$28,0))))</f>
        <v/>
      </c>
      <c r="H66" s="8" t="str">
        <f>IF(LEN(C66)=0,"",IF(COUNTIFS(Elements!$B$9:$B$28,C66,Elements!$D$9:$D$28,"&lt;&gt;")=0,"",INDEX(Elements!$D$9:$D$28,MATCH(C66,Elements!$B$9:$B$28,0))))</f>
        <v/>
      </c>
      <c r="I66" s="8" t="str">
        <f t="shared" si="0"/>
        <v/>
      </c>
      <c r="J66" s="7" t="str">
        <f>IF(COUNTA(B66:F66)=0,"",IF(LEN(B66)=0,"Choose segment",IF(COUNTIF(Segments!$B$9:$B$38,B66)=0,"Unknown segment",IF(COUNTIFS(Segments!$B$9:$B$38,B66,Segments!$C$9:$C$38,"&lt;&gt;")=0,"Name segment",IF(LEN(C66)=0,"Choose element",IF(G66="","Name or correct element",IF(LEN(H66)=0,"Enter element weight",IF(NOT(ISNUMBER(H66)),"Numeric weight needed",IF(LEN(D66)=0,"Enter quantity",IF(NOT(ISNUMBER(D66)),"Numeric quantity needed",IF(D66&lt;0,"Quantity below zero","Ready")))))))))))</f>
        <v/>
      </c>
    </row>
    <row r="67" spans="1:10" ht="40" customHeight="1">
      <c r="A67" s="1"/>
      <c r="B67" s="4"/>
      <c r="C67" s="4"/>
      <c r="D67" s="15"/>
      <c r="E67" s="10"/>
      <c r="F67" s="10"/>
      <c r="G67" s="11" t="str">
        <f>IF(LEN(C67)=0,"",IF(COUNTIFS(Elements!$B$9:$B$28,C67,Elements!$C$9:$C$28,"&lt;&gt;")=0,"",INDEX(Elements!$C$9:$C$28,MATCH(C67,Elements!$B$9:$B$28,0))))</f>
        <v/>
      </c>
      <c r="H67" s="8" t="str">
        <f>IF(LEN(C67)=0,"",IF(COUNTIFS(Elements!$B$9:$B$28,C67,Elements!$D$9:$D$28,"&lt;&gt;")=0,"",INDEX(Elements!$D$9:$D$28,MATCH(C67,Elements!$B$9:$B$28,0))))</f>
        <v/>
      </c>
      <c r="I67" s="8" t="str">
        <f t="shared" si="0"/>
        <v/>
      </c>
      <c r="J67" s="7" t="str">
        <f>IF(COUNTA(B67:F67)=0,"",IF(LEN(B67)=0,"Choose segment",IF(COUNTIF(Segments!$B$9:$B$38,B67)=0,"Unknown segment",IF(COUNTIFS(Segments!$B$9:$B$38,B67,Segments!$C$9:$C$38,"&lt;&gt;")=0,"Name segment",IF(LEN(C67)=0,"Choose element",IF(G67="","Name or correct element",IF(LEN(H67)=0,"Enter element weight",IF(NOT(ISNUMBER(H67)),"Numeric weight needed",IF(LEN(D67)=0,"Enter quantity",IF(NOT(ISNUMBER(D67)),"Numeric quantity needed",IF(D67&lt;0,"Quantity below zero","Ready")))))))))))</f>
        <v/>
      </c>
    </row>
    <row r="68" spans="1:10" ht="40" customHeight="1">
      <c r="A68" s="1"/>
      <c r="B68" s="4"/>
      <c r="C68" s="4"/>
      <c r="D68" s="15"/>
      <c r="E68" s="10"/>
      <c r="F68" s="10"/>
      <c r="G68" s="11" t="str">
        <f>IF(LEN(C68)=0,"",IF(COUNTIFS(Elements!$B$9:$B$28,C68,Elements!$C$9:$C$28,"&lt;&gt;")=0,"",INDEX(Elements!$C$9:$C$28,MATCH(C68,Elements!$B$9:$B$28,0))))</f>
        <v/>
      </c>
      <c r="H68" s="8" t="str">
        <f>IF(LEN(C68)=0,"",IF(COUNTIFS(Elements!$B$9:$B$28,C68,Elements!$D$9:$D$28,"&lt;&gt;")=0,"",INDEX(Elements!$D$9:$D$28,MATCH(C68,Elements!$B$9:$B$28,0))))</f>
        <v/>
      </c>
      <c r="I68" s="8" t="str">
        <f t="shared" si="0"/>
        <v/>
      </c>
      <c r="J68" s="7" t="str">
        <f>IF(COUNTA(B68:F68)=0,"",IF(LEN(B68)=0,"Choose segment",IF(COUNTIF(Segments!$B$9:$B$38,B68)=0,"Unknown segment",IF(COUNTIFS(Segments!$B$9:$B$38,B68,Segments!$C$9:$C$38,"&lt;&gt;")=0,"Name segment",IF(LEN(C68)=0,"Choose element",IF(G68="","Name or correct element",IF(LEN(H68)=0,"Enter element weight",IF(NOT(ISNUMBER(H68)),"Numeric weight needed",IF(LEN(D68)=0,"Enter quantity",IF(NOT(ISNUMBER(D68)),"Numeric quantity needed",IF(D68&lt;0,"Quantity below zero","Ready")))))))))))</f>
        <v/>
      </c>
    </row>
    <row r="69" spans="1:10" ht="40" customHeight="1">
      <c r="A69" s="1"/>
      <c r="B69" s="4"/>
      <c r="C69" s="4"/>
      <c r="D69" s="15"/>
      <c r="E69" s="10"/>
      <c r="F69" s="10"/>
      <c r="G69" s="11" t="str">
        <f>IF(LEN(C69)=0,"",IF(COUNTIFS(Elements!$B$9:$B$28,C69,Elements!$C$9:$C$28,"&lt;&gt;")=0,"",INDEX(Elements!$C$9:$C$28,MATCH(C69,Elements!$B$9:$B$28,0))))</f>
        <v/>
      </c>
      <c r="H69" s="8" t="str">
        <f>IF(LEN(C69)=0,"",IF(COUNTIFS(Elements!$B$9:$B$28,C69,Elements!$D$9:$D$28,"&lt;&gt;")=0,"",INDEX(Elements!$D$9:$D$28,MATCH(C69,Elements!$B$9:$B$28,0))))</f>
        <v/>
      </c>
      <c r="I69" s="8" t="str">
        <f t="shared" si="0"/>
        <v/>
      </c>
      <c r="J69" s="7" t="str">
        <f>IF(COUNTA(B69:F69)=0,"",IF(LEN(B69)=0,"Choose segment",IF(COUNTIF(Segments!$B$9:$B$38,B69)=0,"Unknown segment",IF(COUNTIFS(Segments!$B$9:$B$38,B69,Segments!$C$9:$C$38,"&lt;&gt;")=0,"Name segment",IF(LEN(C69)=0,"Choose element",IF(G69="","Name or correct element",IF(LEN(H69)=0,"Enter element weight",IF(NOT(ISNUMBER(H69)),"Numeric weight needed",IF(LEN(D69)=0,"Enter quantity",IF(NOT(ISNUMBER(D69)),"Numeric quantity needed",IF(D69&lt;0,"Quantity below zero","Ready")))))))))))</f>
        <v/>
      </c>
    </row>
    <row r="70" spans="1:10" ht="40" customHeight="1">
      <c r="A70" s="1"/>
      <c r="B70" s="4"/>
      <c r="C70" s="4"/>
      <c r="D70" s="15"/>
      <c r="E70" s="10"/>
      <c r="F70" s="10"/>
      <c r="G70" s="11" t="str">
        <f>IF(LEN(C70)=0,"",IF(COUNTIFS(Elements!$B$9:$B$28,C70,Elements!$C$9:$C$28,"&lt;&gt;")=0,"",INDEX(Elements!$C$9:$C$28,MATCH(C70,Elements!$B$9:$B$28,0))))</f>
        <v/>
      </c>
      <c r="H70" s="8" t="str">
        <f>IF(LEN(C70)=0,"",IF(COUNTIFS(Elements!$B$9:$B$28,C70,Elements!$D$9:$D$28,"&lt;&gt;")=0,"",INDEX(Elements!$D$9:$D$28,MATCH(C70,Elements!$B$9:$B$28,0))))</f>
        <v/>
      </c>
      <c r="I70" s="8" t="str">
        <f t="shared" si="0"/>
        <v/>
      </c>
      <c r="J70" s="7" t="str">
        <f>IF(COUNTA(B70:F70)=0,"",IF(LEN(B70)=0,"Choose segment",IF(COUNTIF(Segments!$B$9:$B$38,B70)=0,"Unknown segment",IF(COUNTIFS(Segments!$B$9:$B$38,B70,Segments!$C$9:$C$38,"&lt;&gt;")=0,"Name segment",IF(LEN(C70)=0,"Choose element",IF(G70="","Name or correct element",IF(LEN(H70)=0,"Enter element weight",IF(NOT(ISNUMBER(H70)),"Numeric weight needed",IF(LEN(D70)=0,"Enter quantity",IF(NOT(ISNUMBER(D70)),"Numeric quantity needed",IF(D70&lt;0,"Quantity below zero","Ready")))))))))))</f>
        <v/>
      </c>
    </row>
    <row r="71" spans="1:10" ht="40" customHeight="1">
      <c r="A71" s="1"/>
      <c r="B71" s="4"/>
      <c r="C71" s="4"/>
      <c r="D71" s="15"/>
      <c r="E71" s="10"/>
      <c r="F71" s="10"/>
      <c r="G71" s="11" t="str">
        <f>IF(LEN(C71)=0,"",IF(COUNTIFS(Elements!$B$9:$B$28,C71,Elements!$C$9:$C$28,"&lt;&gt;")=0,"",INDEX(Elements!$C$9:$C$28,MATCH(C71,Elements!$B$9:$B$28,0))))</f>
        <v/>
      </c>
      <c r="H71" s="8" t="str">
        <f>IF(LEN(C71)=0,"",IF(COUNTIFS(Elements!$B$9:$B$28,C71,Elements!$D$9:$D$28,"&lt;&gt;")=0,"",INDEX(Elements!$D$9:$D$28,MATCH(C71,Elements!$B$9:$B$28,0))))</f>
        <v/>
      </c>
      <c r="I71" s="8" t="str">
        <f t="shared" si="0"/>
        <v/>
      </c>
      <c r="J71" s="7" t="str">
        <f>IF(COUNTA(B71:F71)=0,"",IF(LEN(B71)=0,"Choose segment",IF(COUNTIF(Segments!$B$9:$B$38,B71)=0,"Unknown segment",IF(COUNTIFS(Segments!$B$9:$B$38,B71,Segments!$C$9:$C$38,"&lt;&gt;")=0,"Name segment",IF(LEN(C71)=0,"Choose element",IF(G71="","Name or correct element",IF(LEN(H71)=0,"Enter element weight",IF(NOT(ISNUMBER(H71)),"Numeric weight needed",IF(LEN(D71)=0,"Enter quantity",IF(NOT(ISNUMBER(D71)),"Numeric quantity needed",IF(D71&lt;0,"Quantity below zero","Ready")))))))))))</f>
        <v/>
      </c>
    </row>
    <row r="72" spans="1:10" ht="40" customHeight="1">
      <c r="A72" s="1"/>
      <c r="B72" s="4"/>
      <c r="C72" s="4"/>
      <c r="D72" s="15"/>
      <c r="E72" s="10"/>
      <c r="F72" s="10"/>
      <c r="G72" s="11" t="str">
        <f>IF(LEN(C72)=0,"",IF(COUNTIFS(Elements!$B$9:$B$28,C72,Elements!$C$9:$C$28,"&lt;&gt;")=0,"",INDEX(Elements!$C$9:$C$28,MATCH(C72,Elements!$B$9:$B$28,0))))</f>
        <v/>
      </c>
      <c r="H72" s="8" t="str">
        <f>IF(LEN(C72)=0,"",IF(COUNTIFS(Elements!$B$9:$B$28,C72,Elements!$D$9:$D$28,"&lt;&gt;")=0,"",INDEX(Elements!$D$9:$D$28,MATCH(C72,Elements!$B$9:$B$28,0))))</f>
        <v/>
      </c>
      <c r="I72" s="8" t="str">
        <f t="shared" si="0"/>
        <v/>
      </c>
      <c r="J72" s="7" t="str">
        <f>IF(COUNTA(B72:F72)=0,"",IF(LEN(B72)=0,"Choose segment",IF(COUNTIF(Segments!$B$9:$B$38,B72)=0,"Unknown segment",IF(COUNTIFS(Segments!$B$9:$B$38,B72,Segments!$C$9:$C$38,"&lt;&gt;")=0,"Name segment",IF(LEN(C72)=0,"Choose element",IF(G72="","Name or correct element",IF(LEN(H72)=0,"Enter element weight",IF(NOT(ISNUMBER(H72)),"Numeric weight needed",IF(LEN(D72)=0,"Enter quantity",IF(NOT(ISNUMBER(D72)),"Numeric quantity needed",IF(D72&lt;0,"Quantity below zero","Ready")))))))))))</f>
        <v/>
      </c>
    </row>
    <row r="73" spans="1:10" ht="40" customHeight="1">
      <c r="A73" s="1"/>
      <c r="B73" s="4"/>
      <c r="C73" s="4"/>
      <c r="D73" s="15"/>
      <c r="E73" s="10"/>
      <c r="F73" s="10"/>
      <c r="G73" s="11" t="str">
        <f>IF(LEN(C73)=0,"",IF(COUNTIFS(Elements!$B$9:$B$28,C73,Elements!$C$9:$C$28,"&lt;&gt;")=0,"",INDEX(Elements!$C$9:$C$28,MATCH(C73,Elements!$B$9:$B$28,0))))</f>
        <v/>
      </c>
      <c r="H73" s="8" t="str">
        <f>IF(LEN(C73)=0,"",IF(COUNTIFS(Elements!$B$9:$B$28,C73,Elements!$D$9:$D$28,"&lt;&gt;")=0,"",INDEX(Elements!$D$9:$D$28,MATCH(C73,Elements!$B$9:$B$28,0))))</f>
        <v/>
      </c>
      <c r="I73" s="8" t="str">
        <f t="shared" ref="I73:I136" si="1">IF(J73="Ready",D73*H73,"")</f>
        <v/>
      </c>
      <c r="J73" s="7" t="str">
        <f>IF(COUNTA(B73:F73)=0,"",IF(LEN(B73)=0,"Choose segment",IF(COUNTIF(Segments!$B$9:$B$38,B73)=0,"Unknown segment",IF(COUNTIFS(Segments!$B$9:$B$38,B73,Segments!$C$9:$C$38,"&lt;&gt;")=0,"Name segment",IF(LEN(C73)=0,"Choose element",IF(G73="","Name or correct element",IF(LEN(H73)=0,"Enter element weight",IF(NOT(ISNUMBER(H73)),"Numeric weight needed",IF(LEN(D73)=0,"Enter quantity",IF(NOT(ISNUMBER(D73)),"Numeric quantity needed",IF(D73&lt;0,"Quantity below zero","Ready")))))))))))</f>
        <v/>
      </c>
    </row>
    <row r="74" spans="1:10" ht="40" customHeight="1">
      <c r="A74" s="1"/>
      <c r="B74" s="4"/>
      <c r="C74" s="4"/>
      <c r="D74" s="15"/>
      <c r="E74" s="10"/>
      <c r="F74" s="10"/>
      <c r="G74" s="11" t="str">
        <f>IF(LEN(C74)=0,"",IF(COUNTIFS(Elements!$B$9:$B$28,C74,Elements!$C$9:$C$28,"&lt;&gt;")=0,"",INDEX(Elements!$C$9:$C$28,MATCH(C74,Elements!$B$9:$B$28,0))))</f>
        <v/>
      </c>
      <c r="H74" s="8" t="str">
        <f>IF(LEN(C74)=0,"",IF(COUNTIFS(Elements!$B$9:$B$28,C74,Elements!$D$9:$D$28,"&lt;&gt;")=0,"",INDEX(Elements!$D$9:$D$28,MATCH(C74,Elements!$B$9:$B$28,0))))</f>
        <v/>
      </c>
      <c r="I74" s="8" t="str">
        <f t="shared" si="1"/>
        <v/>
      </c>
      <c r="J74" s="7" t="str">
        <f>IF(COUNTA(B74:F74)=0,"",IF(LEN(B74)=0,"Choose segment",IF(COUNTIF(Segments!$B$9:$B$38,B74)=0,"Unknown segment",IF(COUNTIFS(Segments!$B$9:$B$38,B74,Segments!$C$9:$C$38,"&lt;&gt;")=0,"Name segment",IF(LEN(C74)=0,"Choose element",IF(G74="","Name or correct element",IF(LEN(H74)=0,"Enter element weight",IF(NOT(ISNUMBER(H74)),"Numeric weight needed",IF(LEN(D74)=0,"Enter quantity",IF(NOT(ISNUMBER(D74)),"Numeric quantity needed",IF(D74&lt;0,"Quantity below zero","Ready")))))))))))</f>
        <v/>
      </c>
    </row>
    <row r="75" spans="1:10" ht="40" customHeight="1">
      <c r="A75" s="1"/>
      <c r="B75" s="4"/>
      <c r="C75" s="4"/>
      <c r="D75" s="15"/>
      <c r="E75" s="10"/>
      <c r="F75" s="10"/>
      <c r="G75" s="11" t="str">
        <f>IF(LEN(C75)=0,"",IF(COUNTIFS(Elements!$B$9:$B$28,C75,Elements!$C$9:$C$28,"&lt;&gt;")=0,"",INDEX(Elements!$C$9:$C$28,MATCH(C75,Elements!$B$9:$B$28,0))))</f>
        <v/>
      </c>
      <c r="H75" s="8" t="str">
        <f>IF(LEN(C75)=0,"",IF(COUNTIFS(Elements!$B$9:$B$28,C75,Elements!$D$9:$D$28,"&lt;&gt;")=0,"",INDEX(Elements!$D$9:$D$28,MATCH(C75,Elements!$B$9:$B$28,0))))</f>
        <v/>
      </c>
      <c r="I75" s="8" t="str">
        <f t="shared" si="1"/>
        <v/>
      </c>
      <c r="J75" s="7" t="str">
        <f>IF(COUNTA(B75:F75)=0,"",IF(LEN(B75)=0,"Choose segment",IF(COUNTIF(Segments!$B$9:$B$38,B75)=0,"Unknown segment",IF(COUNTIFS(Segments!$B$9:$B$38,B75,Segments!$C$9:$C$38,"&lt;&gt;")=0,"Name segment",IF(LEN(C75)=0,"Choose element",IF(G75="","Name or correct element",IF(LEN(H75)=0,"Enter element weight",IF(NOT(ISNUMBER(H75)),"Numeric weight needed",IF(LEN(D75)=0,"Enter quantity",IF(NOT(ISNUMBER(D75)),"Numeric quantity needed",IF(D75&lt;0,"Quantity below zero","Ready")))))))))))</f>
        <v/>
      </c>
    </row>
    <row r="76" spans="1:10" ht="40" customHeight="1">
      <c r="A76" s="1"/>
      <c r="B76" s="4"/>
      <c r="C76" s="4"/>
      <c r="D76" s="15"/>
      <c r="E76" s="10"/>
      <c r="F76" s="10"/>
      <c r="G76" s="11" t="str">
        <f>IF(LEN(C76)=0,"",IF(COUNTIFS(Elements!$B$9:$B$28,C76,Elements!$C$9:$C$28,"&lt;&gt;")=0,"",INDEX(Elements!$C$9:$C$28,MATCH(C76,Elements!$B$9:$B$28,0))))</f>
        <v/>
      </c>
      <c r="H76" s="8" t="str">
        <f>IF(LEN(C76)=0,"",IF(COUNTIFS(Elements!$B$9:$B$28,C76,Elements!$D$9:$D$28,"&lt;&gt;")=0,"",INDEX(Elements!$D$9:$D$28,MATCH(C76,Elements!$B$9:$B$28,0))))</f>
        <v/>
      </c>
      <c r="I76" s="8" t="str">
        <f t="shared" si="1"/>
        <v/>
      </c>
      <c r="J76" s="7" t="str">
        <f>IF(COUNTA(B76:F76)=0,"",IF(LEN(B76)=0,"Choose segment",IF(COUNTIF(Segments!$B$9:$B$38,B76)=0,"Unknown segment",IF(COUNTIFS(Segments!$B$9:$B$38,B76,Segments!$C$9:$C$38,"&lt;&gt;")=0,"Name segment",IF(LEN(C76)=0,"Choose element",IF(G76="","Name or correct element",IF(LEN(H76)=0,"Enter element weight",IF(NOT(ISNUMBER(H76)),"Numeric weight needed",IF(LEN(D76)=0,"Enter quantity",IF(NOT(ISNUMBER(D76)),"Numeric quantity needed",IF(D76&lt;0,"Quantity below zero","Ready")))))))))))</f>
        <v/>
      </c>
    </row>
    <row r="77" spans="1:10" ht="40" customHeight="1">
      <c r="A77" s="1"/>
      <c r="B77" s="4"/>
      <c r="C77" s="4"/>
      <c r="D77" s="15"/>
      <c r="E77" s="10"/>
      <c r="F77" s="10"/>
      <c r="G77" s="11" t="str">
        <f>IF(LEN(C77)=0,"",IF(COUNTIFS(Elements!$B$9:$B$28,C77,Elements!$C$9:$C$28,"&lt;&gt;")=0,"",INDEX(Elements!$C$9:$C$28,MATCH(C77,Elements!$B$9:$B$28,0))))</f>
        <v/>
      </c>
      <c r="H77" s="8" t="str">
        <f>IF(LEN(C77)=0,"",IF(COUNTIFS(Elements!$B$9:$B$28,C77,Elements!$D$9:$D$28,"&lt;&gt;")=0,"",INDEX(Elements!$D$9:$D$28,MATCH(C77,Elements!$B$9:$B$28,0))))</f>
        <v/>
      </c>
      <c r="I77" s="8" t="str">
        <f t="shared" si="1"/>
        <v/>
      </c>
      <c r="J77" s="7" t="str">
        <f>IF(COUNTA(B77:F77)=0,"",IF(LEN(B77)=0,"Choose segment",IF(COUNTIF(Segments!$B$9:$B$38,B77)=0,"Unknown segment",IF(COUNTIFS(Segments!$B$9:$B$38,B77,Segments!$C$9:$C$38,"&lt;&gt;")=0,"Name segment",IF(LEN(C77)=0,"Choose element",IF(G77="","Name or correct element",IF(LEN(H77)=0,"Enter element weight",IF(NOT(ISNUMBER(H77)),"Numeric weight needed",IF(LEN(D77)=0,"Enter quantity",IF(NOT(ISNUMBER(D77)),"Numeric quantity needed",IF(D77&lt;0,"Quantity below zero","Ready")))))))))))</f>
        <v/>
      </c>
    </row>
    <row r="78" spans="1:10" ht="40" customHeight="1">
      <c r="A78" s="1"/>
      <c r="B78" s="4"/>
      <c r="C78" s="4"/>
      <c r="D78" s="15"/>
      <c r="E78" s="10"/>
      <c r="F78" s="10"/>
      <c r="G78" s="11" t="str">
        <f>IF(LEN(C78)=0,"",IF(COUNTIFS(Elements!$B$9:$B$28,C78,Elements!$C$9:$C$28,"&lt;&gt;")=0,"",INDEX(Elements!$C$9:$C$28,MATCH(C78,Elements!$B$9:$B$28,0))))</f>
        <v/>
      </c>
      <c r="H78" s="8" t="str">
        <f>IF(LEN(C78)=0,"",IF(COUNTIFS(Elements!$B$9:$B$28,C78,Elements!$D$9:$D$28,"&lt;&gt;")=0,"",INDEX(Elements!$D$9:$D$28,MATCH(C78,Elements!$B$9:$B$28,0))))</f>
        <v/>
      </c>
      <c r="I78" s="8" t="str">
        <f t="shared" si="1"/>
        <v/>
      </c>
      <c r="J78" s="7" t="str">
        <f>IF(COUNTA(B78:F78)=0,"",IF(LEN(B78)=0,"Choose segment",IF(COUNTIF(Segments!$B$9:$B$38,B78)=0,"Unknown segment",IF(COUNTIFS(Segments!$B$9:$B$38,B78,Segments!$C$9:$C$38,"&lt;&gt;")=0,"Name segment",IF(LEN(C78)=0,"Choose element",IF(G78="","Name or correct element",IF(LEN(H78)=0,"Enter element weight",IF(NOT(ISNUMBER(H78)),"Numeric weight needed",IF(LEN(D78)=0,"Enter quantity",IF(NOT(ISNUMBER(D78)),"Numeric quantity needed",IF(D78&lt;0,"Quantity below zero","Ready")))))))))))</f>
        <v/>
      </c>
    </row>
    <row r="79" spans="1:10" ht="40" customHeight="1">
      <c r="A79" s="1"/>
      <c r="B79" s="4"/>
      <c r="C79" s="4"/>
      <c r="D79" s="15"/>
      <c r="E79" s="10"/>
      <c r="F79" s="10"/>
      <c r="G79" s="11" t="str">
        <f>IF(LEN(C79)=0,"",IF(COUNTIFS(Elements!$B$9:$B$28,C79,Elements!$C$9:$C$28,"&lt;&gt;")=0,"",INDEX(Elements!$C$9:$C$28,MATCH(C79,Elements!$B$9:$B$28,0))))</f>
        <v/>
      </c>
      <c r="H79" s="8" t="str">
        <f>IF(LEN(C79)=0,"",IF(COUNTIFS(Elements!$B$9:$B$28,C79,Elements!$D$9:$D$28,"&lt;&gt;")=0,"",INDEX(Elements!$D$9:$D$28,MATCH(C79,Elements!$B$9:$B$28,0))))</f>
        <v/>
      </c>
      <c r="I79" s="8" t="str">
        <f t="shared" si="1"/>
        <v/>
      </c>
      <c r="J79" s="7" t="str">
        <f>IF(COUNTA(B79:F79)=0,"",IF(LEN(B79)=0,"Choose segment",IF(COUNTIF(Segments!$B$9:$B$38,B79)=0,"Unknown segment",IF(COUNTIFS(Segments!$B$9:$B$38,B79,Segments!$C$9:$C$38,"&lt;&gt;")=0,"Name segment",IF(LEN(C79)=0,"Choose element",IF(G79="","Name or correct element",IF(LEN(H79)=0,"Enter element weight",IF(NOT(ISNUMBER(H79)),"Numeric weight needed",IF(LEN(D79)=0,"Enter quantity",IF(NOT(ISNUMBER(D79)),"Numeric quantity needed",IF(D79&lt;0,"Quantity below zero","Ready")))))))))))</f>
        <v/>
      </c>
    </row>
    <row r="80" spans="1:10" ht="40" customHeight="1">
      <c r="A80" s="1"/>
      <c r="B80" s="4"/>
      <c r="C80" s="4"/>
      <c r="D80" s="15"/>
      <c r="E80" s="10"/>
      <c r="F80" s="10"/>
      <c r="G80" s="11" t="str">
        <f>IF(LEN(C80)=0,"",IF(COUNTIFS(Elements!$B$9:$B$28,C80,Elements!$C$9:$C$28,"&lt;&gt;")=0,"",INDEX(Elements!$C$9:$C$28,MATCH(C80,Elements!$B$9:$B$28,0))))</f>
        <v/>
      </c>
      <c r="H80" s="8" t="str">
        <f>IF(LEN(C80)=0,"",IF(COUNTIFS(Elements!$B$9:$B$28,C80,Elements!$D$9:$D$28,"&lt;&gt;")=0,"",INDEX(Elements!$D$9:$D$28,MATCH(C80,Elements!$B$9:$B$28,0))))</f>
        <v/>
      </c>
      <c r="I80" s="8" t="str">
        <f t="shared" si="1"/>
        <v/>
      </c>
      <c r="J80" s="7" t="str">
        <f>IF(COUNTA(B80:F80)=0,"",IF(LEN(B80)=0,"Choose segment",IF(COUNTIF(Segments!$B$9:$B$38,B80)=0,"Unknown segment",IF(COUNTIFS(Segments!$B$9:$B$38,B80,Segments!$C$9:$C$38,"&lt;&gt;")=0,"Name segment",IF(LEN(C80)=0,"Choose element",IF(G80="","Name or correct element",IF(LEN(H80)=0,"Enter element weight",IF(NOT(ISNUMBER(H80)),"Numeric weight needed",IF(LEN(D80)=0,"Enter quantity",IF(NOT(ISNUMBER(D80)),"Numeric quantity needed",IF(D80&lt;0,"Quantity below zero","Ready")))))))))))</f>
        <v/>
      </c>
    </row>
    <row r="81" spans="1:10" ht="40" customHeight="1">
      <c r="A81" s="1"/>
      <c r="B81" s="4"/>
      <c r="C81" s="4"/>
      <c r="D81" s="15"/>
      <c r="E81" s="10"/>
      <c r="F81" s="10"/>
      <c r="G81" s="11" t="str">
        <f>IF(LEN(C81)=0,"",IF(COUNTIFS(Elements!$B$9:$B$28,C81,Elements!$C$9:$C$28,"&lt;&gt;")=0,"",INDEX(Elements!$C$9:$C$28,MATCH(C81,Elements!$B$9:$B$28,0))))</f>
        <v/>
      </c>
      <c r="H81" s="8" t="str">
        <f>IF(LEN(C81)=0,"",IF(COUNTIFS(Elements!$B$9:$B$28,C81,Elements!$D$9:$D$28,"&lt;&gt;")=0,"",INDEX(Elements!$D$9:$D$28,MATCH(C81,Elements!$B$9:$B$28,0))))</f>
        <v/>
      </c>
      <c r="I81" s="8" t="str">
        <f t="shared" si="1"/>
        <v/>
      </c>
      <c r="J81" s="7" t="str">
        <f>IF(COUNTA(B81:F81)=0,"",IF(LEN(B81)=0,"Choose segment",IF(COUNTIF(Segments!$B$9:$B$38,B81)=0,"Unknown segment",IF(COUNTIFS(Segments!$B$9:$B$38,B81,Segments!$C$9:$C$38,"&lt;&gt;")=0,"Name segment",IF(LEN(C81)=0,"Choose element",IF(G81="","Name or correct element",IF(LEN(H81)=0,"Enter element weight",IF(NOT(ISNUMBER(H81)),"Numeric weight needed",IF(LEN(D81)=0,"Enter quantity",IF(NOT(ISNUMBER(D81)),"Numeric quantity needed",IF(D81&lt;0,"Quantity below zero","Ready")))))))))))</f>
        <v/>
      </c>
    </row>
    <row r="82" spans="1:10" ht="40" customHeight="1">
      <c r="A82" s="1"/>
      <c r="B82" s="4"/>
      <c r="C82" s="4"/>
      <c r="D82" s="15"/>
      <c r="E82" s="10"/>
      <c r="F82" s="10"/>
      <c r="G82" s="11" t="str">
        <f>IF(LEN(C82)=0,"",IF(COUNTIFS(Elements!$B$9:$B$28,C82,Elements!$C$9:$C$28,"&lt;&gt;")=0,"",INDEX(Elements!$C$9:$C$28,MATCH(C82,Elements!$B$9:$B$28,0))))</f>
        <v/>
      </c>
      <c r="H82" s="8" t="str">
        <f>IF(LEN(C82)=0,"",IF(COUNTIFS(Elements!$B$9:$B$28,C82,Elements!$D$9:$D$28,"&lt;&gt;")=0,"",INDEX(Elements!$D$9:$D$28,MATCH(C82,Elements!$B$9:$B$28,0))))</f>
        <v/>
      </c>
      <c r="I82" s="8" t="str">
        <f t="shared" si="1"/>
        <v/>
      </c>
      <c r="J82" s="7" t="str">
        <f>IF(COUNTA(B82:F82)=0,"",IF(LEN(B82)=0,"Choose segment",IF(COUNTIF(Segments!$B$9:$B$38,B82)=0,"Unknown segment",IF(COUNTIFS(Segments!$B$9:$B$38,B82,Segments!$C$9:$C$38,"&lt;&gt;")=0,"Name segment",IF(LEN(C82)=0,"Choose element",IF(G82="","Name or correct element",IF(LEN(H82)=0,"Enter element weight",IF(NOT(ISNUMBER(H82)),"Numeric weight needed",IF(LEN(D82)=0,"Enter quantity",IF(NOT(ISNUMBER(D82)),"Numeric quantity needed",IF(D82&lt;0,"Quantity below zero","Ready")))))))))))</f>
        <v/>
      </c>
    </row>
    <row r="83" spans="1:10" ht="40" customHeight="1">
      <c r="A83" s="1"/>
      <c r="B83" s="4"/>
      <c r="C83" s="4"/>
      <c r="D83" s="15"/>
      <c r="E83" s="10"/>
      <c r="F83" s="10"/>
      <c r="G83" s="11" t="str">
        <f>IF(LEN(C83)=0,"",IF(COUNTIFS(Elements!$B$9:$B$28,C83,Elements!$C$9:$C$28,"&lt;&gt;")=0,"",INDEX(Elements!$C$9:$C$28,MATCH(C83,Elements!$B$9:$B$28,0))))</f>
        <v/>
      </c>
      <c r="H83" s="8" t="str">
        <f>IF(LEN(C83)=0,"",IF(COUNTIFS(Elements!$B$9:$B$28,C83,Elements!$D$9:$D$28,"&lt;&gt;")=0,"",INDEX(Elements!$D$9:$D$28,MATCH(C83,Elements!$B$9:$B$28,0))))</f>
        <v/>
      </c>
      <c r="I83" s="8" t="str">
        <f t="shared" si="1"/>
        <v/>
      </c>
      <c r="J83" s="7" t="str">
        <f>IF(COUNTA(B83:F83)=0,"",IF(LEN(B83)=0,"Choose segment",IF(COUNTIF(Segments!$B$9:$B$38,B83)=0,"Unknown segment",IF(COUNTIFS(Segments!$B$9:$B$38,B83,Segments!$C$9:$C$38,"&lt;&gt;")=0,"Name segment",IF(LEN(C83)=0,"Choose element",IF(G83="","Name or correct element",IF(LEN(H83)=0,"Enter element weight",IF(NOT(ISNUMBER(H83)),"Numeric weight needed",IF(LEN(D83)=0,"Enter quantity",IF(NOT(ISNUMBER(D83)),"Numeric quantity needed",IF(D83&lt;0,"Quantity below zero","Ready")))))))))))</f>
        <v/>
      </c>
    </row>
    <row r="84" spans="1:10" ht="40" customHeight="1">
      <c r="A84" s="1"/>
      <c r="B84" s="4"/>
      <c r="C84" s="4"/>
      <c r="D84" s="15"/>
      <c r="E84" s="10"/>
      <c r="F84" s="10"/>
      <c r="G84" s="11" t="str">
        <f>IF(LEN(C84)=0,"",IF(COUNTIFS(Elements!$B$9:$B$28,C84,Elements!$C$9:$C$28,"&lt;&gt;")=0,"",INDEX(Elements!$C$9:$C$28,MATCH(C84,Elements!$B$9:$B$28,0))))</f>
        <v/>
      </c>
      <c r="H84" s="8" t="str">
        <f>IF(LEN(C84)=0,"",IF(COUNTIFS(Elements!$B$9:$B$28,C84,Elements!$D$9:$D$28,"&lt;&gt;")=0,"",INDEX(Elements!$D$9:$D$28,MATCH(C84,Elements!$B$9:$B$28,0))))</f>
        <v/>
      </c>
      <c r="I84" s="8" t="str">
        <f t="shared" si="1"/>
        <v/>
      </c>
      <c r="J84" s="7" t="str">
        <f>IF(COUNTA(B84:F84)=0,"",IF(LEN(B84)=0,"Choose segment",IF(COUNTIF(Segments!$B$9:$B$38,B84)=0,"Unknown segment",IF(COUNTIFS(Segments!$B$9:$B$38,B84,Segments!$C$9:$C$38,"&lt;&gt;")=0,"Name segment",IF(LEN(C84)=0,"Choose element",IF(G84="","Name or correct element",IF(LEN(H84)=0,"Enter element weight",IF(NOT(ISNUMBER(H84)),"Numeric weight needed",IF(LEN(D84)=0,"Enter quantity",IF(NOT(ISNUMBER(D84)),"Numeric quantity needed",IF(D84&lt;0,"Quantity below zero","Ready")))))))))))</f>
        <v/>
      </c>
    </row>
    <row r="85" spans="1:10" ht="40" customHeight="1">
      <c r="A85" s="1"/>
      <c r="B85" s="4"/>
      <c r="C85" s="4"/>
      <c r="D85" s="15"/>
      <c r="E85" s="10"/>
      <c r="F85" s="10"/>
      <c r="G85" s="11" t="str">
        <f>IF(LEN(C85)=0,"",IF(COUNTIFS(Elements!$B$9:$B$28,C85,Elements!$C$9:$C$28,"&lt;&gt;")=0,"",INDEX(Elements!$C$9:$C$28,MATCH(C85,Elements!$B$9:$B$28,0))))</f>
        <v/>
      </c>
      <c r="H85" s="8" t="str">
        <f>IF(LEN(C85)=0,"",IF(COUNTIFS(Elements!$B$9:$B$28,C85,Elements!$D$9:$D$28,"&lt;&gt;")=0,"",INDEX(Elements!$D$9:$D$28,MATCH(C85,Elements!$B$9:$B$28,0))))</f>
        <v/>
      </c>
      <c r="I85" s="8" t="str">
        <f t="shared" si="1"/>
        <v/>
      </c>
      <c r="J85" s="7" t="str">
        <f>IF(COUNTA(B85:F85)=0,"",IF(LEN(B85)=0,"Choose segment",IF(COUNTIF(Segments!$B$9:$B$38,B85)=0,"Unknown segment",IF(COUNTIFS(Segments!$B$9:$B$38,B85,Segments!$C$9:$C$38,"&lt;&gt;")=0,"Name segment",IF(LEN(C85)=0,"Choose element",IF(G85="","Name or correct element",IF(LEN(H85)=0,"Enter element weight",IF(NOT(ISNUMBER(H85)),"Numeric weight needed",IF(LEN(D85)=0,"Enter quantity",IF(NOT(ISNUMBER(D85)),"Numeric quantity needed",IF(D85&lt;0,"Quantity below zero","Ready")))))))))))</f>
        <v/>
      </c>
    </row>
    <row r="86" spans="1:10" ht="40" customHeight="1">
      <c r="A86" s="1"/>
      <c r="B86" s="4"/>
      <c r="C86" s="4"/>
      <c r="D86" s="15"/>
      <c r="E86" s="10"/>
      <c r="F86" s="10"/>
      <c r="G86" s="11" t="str">
        <f>IF(LEN(C86)=0,"",IF(COUNTIFS(Elements!$B$9:$B$28,C86,Elements!$C$9:$C$28,"&lt;&gt;")=0,"",INDEX(Elements!$C$9:$C$28,MATCH(C86,Elements!$B$9:$B$28,0))))</f>
        <v/>
      </c>
      <c r="H86" s="8" t="str">
        <f>IF(LEN(C86)=0,"",IF(COUNTIFS(Elements!$B$9:$B$28,C86,Elements!$D$9:$D$28,"&lt;&gt;")=0,"",INDEX(Elements!$D$9:$D$28,MATCH(C86,Elements!$B$9:$B$28,0))))</f>
        <v/>
      </c>
      <c r="I86" s="8" t="str">
        <f t="shared" si="1"/>
        <v/>
      </c>
      <c r="J86" s="7" t="str">
        <f>IF(COUNTA(B86:F86)=0,"",IF(LEN(B86)=0,"Choose segment",IF(COUNTIF(Segments!$B$9:$B$38,B86)=0,"Unknown segment",IF(COUNTIFS(Segments!$B$9:$B$38,B86,Segments!$C$9:$C$38,"&lt;&gt;")=0,"Name segment",IF(LEN(C86)=0,"Choose element",IF(G86="","Name or correct element",IF(LEN(H86)=0,"Enter element weight",IF(NOT(ISNUMBER(H86)),"Numeric weight needed",IF(LEN(D86)=0,"Enter quantity",IF(NOT(ISNUMBER(D86)),"Numeric quantity needed",IF(D86&lt;0,"Quantity below zero","Ready")))))))))))</f>
        <v/>
      </c>
    </row>
    <row r="87" spans="1:10" ht="40" customHeight="1">
      <c r="A87" s="1"/>
      <c r="B87" s="4"/>
      <c r="C87" s="4"/>
      <c r="D87" s="15"/>
      <c r="E87" s="10"/>
      <c r="F87" s="10"/>
      <c r="G87" s="11" t="str">
        <f>IF(LEN(C87)=0,"",IF(COUNTIFS(Elements!$B$9:$B$28,C87,Elements!$C$9:$C$28,"&lt;&gt;")=0,"",INDEX(Elements!$C$9:$C$28,MATCH(C87,Elements!$B$9:$B$28,0))))</f>
        <v/>
      </c>
      <c r="H87" s="8" t="str">
        <f>IF(LEN(C87)=0,"",IF(COUNTIFS(Elements!$B$9:$B$28,C87,Elements!$D$9:$D$28,"&lt;&gt;")=0,"",INDEX(Elements!$D$9:$D$28,MATCH(C87,Elements!$B$9:$B$28,0))))</f>
        <v/>
      </c>
      <c r="I87" s="8" t="str">
        <f t="shared" si="1"/>
        <v/>
      </c>
      <c r="J87" s="7" t="str">
        <f>IF(COUNTA(B87:F87)=0,"",IF(LEN(B87)=0,"Choose segment",IF(COUNTIF(Segments!$B$9:$B$38,B87)=0,"Unknown segment",IF(COUNTIFS(Segments!$B$9:$B$38,B87,Segments!$C$9:$C$38,"&lt;&gt;")=0,"Name segment",IF(LEN(C87)=0,"Choose element",IF(G87="","Name or correct element",IF(LEN(H87)=0,"Enter element weight",IF(NOT(ISNUMBER(H87)),"Numeric weight needed",IF(LEN(D87)=0,"Enter quantity",IF(NOT(ISNUMBER(D87)),"Numeric quantity needed",IF(D87&lt;0,"Quantity below zero","Ready")))))))))))</f>
        <v/>
      </c>
    </row>
    <row r="88" spans="1:10" ht="40" customHeight="1">
      <c r="A88" s="1"/>
      <c r="B88" s="4"/>
      <c r="C88" s="4"/>
      <c r="D88" s="15"/>
      <c r="E88" s="10"/>
      <c r="F88" s="10"/>
      <c r="G88" s="11" t="str">
        <f>IF(LEN(C88)=0,"",IF(COUNTIFS(Elements!$B$9:$B$28,C88,Elements!$C$9:$C$28,"&lt;&gt;")=0,"",INDEX(Elements!$C$9:$C$28,MATCH(C88,Elements!$B$9:$B$28,0))))</f>
        <v/>
      </c>
      <c r="H88" s="8" t="str">
        <f>IF(LEN(C88)=0,"",IF(COUNTIFS(Elements!$B$9:$B$28,C88,Elements!$D$9:$D$28,"&lt;&gt;")=0,"",INDEX(Elements!$D$9:$D$28,MATCH(C88,Elements!$B$9:$B$28,0))))</f>
        <v/>
      </c>
      <c r="I88" s="8" t="str">
        <f t="shared" si="1"/>
        <v/>
      </c>
      <c r="J88" s="7" t="str">
        <f>IF(COUNTA(B88:F88)=0,"",IF(LEN(B88)=0,"Choose segment",IF(COUNTIF(Segments!$B$9:$B$38,B88)=0,"Unknown segment",IF(COUNTIFS(Segments!$B$9:$B$38,B88,Segments!$C$9:$C$38,"&lt;&gt;")=0,"Name segment",IF(LEN(C88)=0,"Choose element",IF(G88="","Name or correct element",IF(LEN(H88)=0,"Enter element weight",IF(NOT(ISNUMBER(H88)),"Numeric weight needed",IF(LEN(D88)=0,"Enter quantity",IF(NOT(ISNUMBER(D88)),"Numeric quantity needed",IF(D88&lt;0,"Quantity below zero","Ready")))))))))))</f>
        <v/>
      </c>
    </row>
    <row r="89" spans="1:10" ht="40" customHeight="1">
      <c r="A89" s="1"/>
      <c r="B89" s="4"/>
      <c r="C89" s="4"/>
      <c r="D89" s="15"/>
      <c r="E89" s="10"/>
      <c r="F89" s="10"/>
      <c r="G89" s="11" t="str">
        <f>IF(LEN(C89)=0,"",IF(COUNTIFS(Elements!$B$9:$B$28,C89,Elements!$C$9:$C$28,"&lt;&gt;")=0,"",INDEX(Elements!$C$9:$C$28,MATCH(C89,Elements!$B$9:$B$28,0))))</f>
        <v/>
      </c>
      <c r="H89" s="8" t="str">
        <f>IF(LEN(C89)=0,"",IF(COUNTIFS(Elements!$B$9:$B$28,C89,Elements!$D$9:$D$28,"&lt;&gt;")=0,"",INDEX(Elements!$D$9:$D$28,MATCH(C89,Elements!$B$9:$B$28,0))))</f>
        <v/>
      </c>
      <c r="I89" s="8" t="str">
        <f t="shared" si="1"/>
        <v/>
      </c>
      <c r="J89" s="7" t="str">
        <f>IF(COUNTA(B89:F89)=0,"",IF(LEN(B89)=0,"Choose segment",IF(COUNTIF(Segments!$B$9:$B$38,B89)=0,"Unknown segment",IF(COUNTIFS(Segments!$B$9:$B$38,B89,Segments!$C$9:$C$38,"&lt;&gt;")=0,"Name segment",IF(LEN(C89)=0,"Choose element",IF(G89="","Name or correct element",IF(LEN(H89)=0,"Enter element weight",IF(NOT(ISNUMBER(H89)),"Numeric weight needed",IF(LEN(D89)=0,"Enter quantity",IF(NOT(ISNUMBER(D89)),"Numeric quantity needed",IF(D89&lt;0,"Quantity below zero","Ready")))))))))))</f>
        <v/>
      </c>
    </row>
    <row r="90" spans="1:10" ht="40" customHeight="1">
      <c r="A90" s="1"/>
      <c r="B90" s="4"/>
      <c r="C90" s="4"/>
      <c r="D90" s="15"/>
      <c r="E90" s="10"/>
      <c r="F90" s="10"/>
      <c r="G90" s="11" t="str">
        <f>IF(LEN(C90)=0,"",IF(COUNTIFS(Elements!$B$9:$B$28,C90,Elements!$C$9:$C$28,"&lt;&gt;")=0,"",INDEX(Elements!$C$9:$C$28,MATCH(C90,Elements!$B$9:$B$28,0))))</f>
        <v/>
      </c>
      <c r="H90" s="8" t="str">
        <f>IF(LEN(C90)=0,"",IF(COUNTIFS(Elements!$B$9:$B$28,C90,Elements!$D$9:$D$28,"&lt;&gt;")=0,"",INDEX(Elements!$D$9:$D$28,MATCH(C90,Elements!$B$9:$B$28,0))))</f>
        <v/>
      </c>
      <c r="I90" s="8" t="str">
        <f t="shared" si="1"/>
        <v/>
      </c>
      <c r="J90" s="7" t="str">
        <f>IF(COUNTA(B90:F90)=0,"",IF(LEN(B90)=0,"Choose segment",IF(COUNTIF(Segments!$B$9:$B$38,B90)=0,"Unknown segment",IF(COUNTIFS(Segments!$B$9:$B$38,B90,Segments!$C$9:$C$38,"&lt;&gt;")=0,"Name segment",IF(LEN(C90)=0,"Choose element",IF(G90="","Name or correct element",IF(LEN(H90)=0,"Enter element weight",IF(NOT(ISNUMBER(H90)),"Numeric weight needed",IF(LEN(D90)=0,"Enter quantity",IF(NOT(ISNUMBER(D90)),"Numeric quantity needed",IF(D90&lt;0,"Quantity below zero","Ready")))))))))))</f>
        <v/>
      </c>
    </row>
    <row r="91" spans="1:10" ht="40" customHeight="1">
      <c r="A91" s="1"/>
      <c r="B91" s="4"/>
      <c r="C91" s="4"/>
      <c r="D91" s="15"/>
      <c r="E91" s="10"/>
      <c r="F91" s="10"/>
      <c r="G91" s="11" t="str">
        <f>IF(LEN(C91)=0,"",IF(COUNTIFS(Elements!$B$9:$B$28,C91,Elements!$C$9:$C$28,"&lt;&gt;")=0,"",INDEX(Elements!$C$9:$C$28,MATCH(C91,Elements!$B$9:$B$28,0))))</f>
        <v/>
      </c>
      <c r="H91" s="8" t="str">
        <f>IF(LEN(C91)=0,"",IF(COUNTIFS(Elements!$B$9:$B$28,C91,Elements!$D$9:$D$28,"&lt;&gt;")=0,"",INDEX(Elements!$D$9:$D$28,MATCH(C91,Elements!$B$9:$B$28,0))))</f>
        <v/>
      </c>
      <c r="I91" s="8" t="str">
        <f t="shared" si="1"/>
        <v/>
      </c>
      <c r="J91" s="7" t="str">
        <f>IF(COUNTA(B91:F91)=0,"",IF(LEN(B91)=0,"Choose segment",IF(COUNTIF(Segments!$B$9:$B$38,B91)=0,"Unknown segment",IF(COUNTIFS(Segments!$B$9:$B$38,B91,Segments!$C$9:$C$38,"&lt;&gt;")=0,"Name segment",IF(LEN(C91)=0,"Choose element",IF(G91="","Name or correct element",IF(LEN(H91)=0,"Enter element weight",IF(NOT(ISNUMBER(H91)),"Numeric weight needed",IF(LEN(D91)=0,"Enter quantity",IF(NOT(ISNUMBER(D91)),"Numeric quantity needed",IF(D91&lt;0,"Quantity below zero","Ready")))))))))))</f>
        <v/>
      </c>
    </row>
    <row r="92" spans="1:10" ht="40" customHeight="1">
      <c r="A92" s="1"/>
      <c r="B92" s="4"/>
      <c r="C92" s="4"/>
      <c r="D92" s="15"/>
      <c r="E92" s="10"/>
      <c r="F92" s="10"/>
      <c r="G92" s="11" t="str">
        <f>IF(LEN(C92)=0,"",IF(COUNTIFS(Elements!$B$9:$B$28,C92,Elements!$C$9:$C$28,"&lt;&gt;")=0,"",INDEX(Elements!$C$9:$C$28,MATCH(C92,Elements!$B$9:$B$28,0))))</f>
        <v/>
      </c>
      <c r="H92" s="8" t="str">
        <f>IF(LEN(C92)=0,"",IF(COUNTIFS(Elements!$B$9:$B$28,C92,Elements!$D$9:$D$28,"&lt;&gt;")=0,"",INDEX(Elements!$D$9:$D$28,MATCH(C92,Elements!$B$9:$B$28,0))))</f>
        <v/>
      </c>
      <c r="I92" s="8" t="str">
        <f t="shared" si="1"/>
        <v/>
      </c>
      <c r="J92" s="7" t="str">
        <f>IF(COUNTA(B92:F92)=0,"",IF(LEN(B92)=0,"Choose segment",IF(COUNTIF(Segments!$B$9:$B$38,B92)=0,"Unknown segment",IF(COUNTIFS(Segments!$B$9:$B$38,B92,Segments!$C$9:$C$38,"&lt;&gt;")=0,"Name segment",IF(LEN(C92)=0,"Choose element",IF(G92="","Name or correct element",IF(LEN(H92)=0,"Enter element weight",IF(NOT(ISNUMBER(H92)),"Numeric weight needed",IF(LEN(D92)=0,"Enter quantity",IF(NOT(ISNUMBER(D92)),"Numeric quantity needed",IF(D92&lt;0,"Quantity below zero","Ready")))))))))))</f>
        <v/>
      </c>
    </row>
    <row r="93" spans="1:10" ht="40" customHeight="1">
      <c r="A93" s="1"/>
      <c r="B93" s="4"/>
      <c r="C93" s="4"/>
      <c r="D93" s="15"/>
      <c r="E93" s="10"/>
      <c r="F93" s="10"/>
      <c r="G93" s="11" t="str">
        <f>IF(LEN(C93)=0,"",IF(COUNTIFS(Elements!$B$9:$B$28,C93,Elements!$C$9:$C$28,"&lt;&gt;")=0,"",INDEX(Elements!$C$9:$C$28,MATCH(C93,Elements!$B$9:$B$28,0))))</f>
        <v/>
      </c>
      <c r="H93" s="8" t="str">
        <f>IF(LEN(C93)=0,"",IF(COUNTIFS(Elements!$B$9:$B$28,C93,Elements!$D$9:$D$28,"&lt;&gt;")=0,"",INDEX(Elements!$D$9:$D$28,MATCH(C93,Elements!$B$9:$B$28,0))))</f>
        <v/>
      </c>
      <c r="I93" s="8" t="str">
        <f t="shared" si="1"/>
        <v/>
      </c>
      <c r="J93" s="7" t="str">
        <f>IF(COUNTA(B93:F93)=0,"",IF(LEN(B93)=0,"Choose segment",IF(COUNTIF(Segments!$B$9:$B$38,B93)=0,"Unknown segment",IF(COUNTIFS(Segments!$B$9:$B$38,B93,Segments!$C$9:$C$38,"&lt;&gt;")=0,"Name segment",IF(LEN(C93)=0,"Choose element",IF(G93="","Name or correct element",IF(LEN(H93)=0,"Enter element weight",IF(NOT(ISNUMBER(H93)),"Numeric weight needed",IF(LEN(D93)=0,"Enter quantity",IF(NOT(ISNUMBER(D93)),"Numeric quantity needed",IF(D93&lt;0,"Quantity below zero","Ready")))))))))))</f>
        <v/>
      </c>
    </row>
    <row r="94" spans="1:10" ht="40" customHeight="1">
      <c r="A94" s="1"/>
      <c r="B94" s="4"/>
      <c r="C94" s="4"/>
      <c r="D94" s="15"/>
      <c r="E94" s="10"/>
      <c r="F94" s="10"/>
      <c r="G94" s="11" t="str">
        <f>IF(LEN(C94)=0,"",IF(COUNTIFS(Elements!$B$9:$B$28,C94,Elements!$C$9:$C$28,"&lt;&gt;")=0,"",INDEX(Elements!$C$9:$C$28,MATCH(C94,Elements!$B$9:$B$28,0))))</f>
        <v/>
      </c>
      <c r="H94" s="8" t="str">
        <f>IF(LEN(C94)=0,"",IF(COUNTIFS(Elements!$B$9:$B$28,C94,Elements!$D$9:$D$28,"&lt;&gt;")=0,"",INDEX(Elements!$D$9:$D$28,MATCH(C94,Elements!$B$9:$B$28,0))))</f>
        <v/>
      </c>
      <c r="I94" s="8" t="str">
        <f t="shared" si="1"/>
        <v/>
      </c>
      <c r="J94" s="7" t="str">
        <f>IF(COUNTA(B94:F94)=0,"",IF(LEN(B94)=0,"Choose segment",IF(COUNTIF(Segments!$B$9:$B$38,B94)=0,"Unknown segment",IF(COUNTIFS(Segments!$B$9:$B$38,B94,Segments!$C$9:$C$38,"&lt;&gt;")=0,"Name segment",IF(LEN(C94)=0,"Choose element",IF(G94="","Name or correct element",IF(LEN(H94)=0,"Enter element weight",IF(NOT(ISNUMBER(H94)),"Numeric weight needed",IF(LEN(D94)=0,"Enter quantity",IF(NOT(ISNUMBER(D94)),"Numeric quantity needed",IF(D94&lt;0,"Quantity below zero","Ready")))))))))))</f>
        <v/>
      </c>
    </row>
    <row r="95" spans="1:10" ht="40" customHeight="1">
      <c r="A95" s="1"/>
      <c r="B95" s="4"/>
      <c r="C95" s="4"/>
      <c r="D95" s="15"/>
      <c r="E95" s="10"/>
      <c r="F95" s="10"/>
      <c r="G95" s="11" t="str">
        <f>IF(LEN(C95)=0,"",IF(COUNTIFS(Elements!$B$9:$B$28,C95,Elements!$C$9:$C$28,"&lt;&gt;")=0,"",INDEX(Elements!$C$9:$C$28,MATCH(C95,Elements!$B$9:$B$28,0))))</f>
        <v/>
      </c>
      <c r="H95" s="8" t="str">
        <f>IF(LEN(C95)=0,"",IF(COUNTIFS(Elements!$B$9:$B$28,C95,Elements!$D$9:$D$28,"&lt;&gt;")=0,"",INDEX(Elements!$D$9:$D$28,MATCH(C95,Elements!$B$9:$B$28,0))))</f>
        <v/>
      </c>
      <c r="I95" s="8" t="str">
        <f t="shared" si="1"/>
        <v/>
      </c>
      <c r="J95" s="7" t="str">
        <f>IF(COUNTA(B95:F95)=0,"",IF(LEN(B95)=0,"Choose segment",IF(COUNTIF(Segments!$B$9:$B$38,B95)=0,"Unknown segment",IF(COUNTIFS(Segments!$B$9:$B$38,B95,Segments!$C$9:$C$38,"&lt;&gt;")=0,"Name segment",IF(LEN(C95)=0,"Choose element",IF(G95="","Name or correct element",IF(LEN(H95)=0,"Enter element weight",IF(NOT(ISNUMBER(H95)),"Numeric weight needed",IF(LEN(D95)=0,"Enter quantity",IF(NOT(ISNUMBER(D95)),"Numeric quantity needed",IF(D95&lt;0,"Quantity below zero","Ready")))))))))))</f>
        <v/>
      </c>
    </row>
    <row r="96" spans="1:10" ht="40" customHeight="1">
      <c r="A96" s="1"/>
      <c r="B96" s="4"/>
      <c r="C96" s="4"/>
      <c r="D96" s="15"/>
      <c r="E96" s="10"/>
      <c r="F96" s="10"/>
      <c r="G96" s="11" t="str">
        <f>IF(LEN(C96)=0,"",IF(COUNTIFS(Elements!$B$9:$B$28,C96,Elements!$C$9:$C$28,"&lt;&gt;")=0,"",INDEX(Elements!$C$9:$C$28,MATCH(C96,Elements!$B$9:$B$28,0))))</f>
        <v/>
      </c>
      <c r="H96" s="8" t="str">
        <f>IF(LEN(C96)=0,"",IF(COUNTIFS(Elements!$B$9:$B$28,C96,Elements!$D$9:$D$28,"&lt;&gt;")=0,"",INDEX(Elements!$D$9:$D$28,MATCH(C96,Elements!$B$9:$B$28,0))))</f>
        <v/>
      </c>
      <c r="I96" s="8" t="str">
        <f t="shared" si="1"/>
        <v/>
      </c>
      <c r="J96" s="7" t="str">
        <f>IF(COUNTA(B96:F96)=0,"",IF(LEN(B96)=0,"Choose segment",IF(COUNTIF(Segments!$B$9:$B$38,B96)=0,"Unknown segment",IF(COUNTIFS(Segments!$B$9:$B$38,B96,Segments!$C$9:$C$38,"&lt;&gt;")=0,"Name segment",IF(LEN(C96)=0,"Choose element",IF(G96="","Name or correct element",IF(LEN(H96)=0,"Enter element weight",IF(NOT(ISNUMBER(H96)),"Numeric weight needed",IF(LEN(D96)=0,"Enter quantity",IF(NOT(ISNUMBER(D96)),"Numeric quantity needed",IF(D96&lt;0,"Quantity below zero","Ready")))))))))))</f>
        <v/>
      </c>
    </row>
    <row r="97" spans="1:10" ht="40" customHeight="1">
      <c r="A97" s="1"/>
      <c r="B97" s="4"/>
      <c r="C97" s="4"/>
      <c r="D97" s="15"/>
      <c r="E97" s="10"/>
      <c r="F97" s="10"/>
      <c r="G97" s="11" t="str">
        <f>IF(LEN(C97)=0,"",IF(COUNTIFS(Elements!$B$9:$B$28,C97,Elements!$C$9:$C$28,"&lt;&gt;")=0,"",INDEX(Elements!$C$9:$C$28,MATCH(C97,Elements!$B$9:$B$28,0))))</f>
        <v/>
      </c>
      <c r="H97" s="8" t="str">
        <f>IF(LEN(C97)=0,"",IF(COUNTIFS(Elements!$B$9:$B$28,C97,Elements!$D$9:$D$28,"&lt;&gt;")=0,"",INDEX(Elements!$D$9:$D$28,MATCH(C97,Elements!$B$9:$B$28,0))))</f>
        <v/>
      </c>
      <c r="I97" s="8" t="str">
        <f t="shared" si="1"/>
        <v/>
      </c>
      <c r="J97" s="7" t="str">
        <f>IF(COUNTA(B97:F97)=0,"",IF(LEN(B97)=0,"Choose segment",IF(COUNTIF(Segments!$B$9:$B$38,B97)=0,"Unknown segment",IF(COUNTIFS(Segments!$B$9:$B$38,B97,Segments!$C$9:$C$38,"&lt;&gt;")=0,"Name segment",IF(LEN(C97)=0,"Choose element",IF(G97="","Name or correct element",IF(LEN(H97)=0,"Enter element weight",IF(NOT(ISNUMBER(H97)),"Numeric weight needed",IF(LEN(D97)=0,"Enter quantity",IF(NOT(ISNUMBER(D97)),"Numeric quantity needed",IF(D97&lt;0,"Quantity below zero","Ready")))))))))))</f>
        <v/>
      </c>
    </row>
    <row r="98" spans="1:10" ht="40" customHeight="1">
      <c r="A98" s="1"/>
      <c r="B98" s="4"/>
      <c r="C98" s="4"/>
      <c r="D98" s="15"/>
      <c r="E98" s="10"/>
      <c r="F98" s="10"/>
      <c r="G98" s="11" t="str">
        <f>IF(LEN(C98)=0,"",IF(COUNTIFS(Elements!$B$9:$B$28,C98,Elements!$C$9:$C$28,"&lt;&gt;")=0,"",INDEX(Elements!$C$9:$C$28,MATCH(C98,Elements!$B$9:$B$28,0))))</f>
        <v/>
      </c>
      <c r="H98" s="8" t="str">
        <f>IF(LEN(C98)=0,"",IF(COUNTIFS(Elements!$B$9:$B$28,C98,Elements!$D$9:$D$28,"&lt;&gt;")=0,"",INDEX(Elements!$D$9:$D$28,MATCH(C98,Elements!$B$9:$B$28,0))))</f>
        <v/>
      </c>
      <c r="I98" s="8" t="str">
        <f t="shared" si="1"/>
        <v/>
      </c>
      <c r="J98" s="7" t="str">
        <f>IF(COUNTA(B98:F98)=0,"",IF(LEN(B98)=0,"Choose segment",IF(COUNTIF(Segments!$B$9:$B$38,B98)=0,"Unknown segment",IF(COUNTIFS(Segments!$B$9:$B$38,B98,Segments!$C$9:$C$38,"&lt;&gt;")=0,"Name segment",IF(LEN(C98)=0,"Choose element",IF(G98="","Name or correct element",IF(LEN(H98)=0,"Enter element weight",IF(NOT(ISNUMBER(H98)),"Numeric weight needed",IF(LEN(D98)=0,"Enter quantity",IF(NOT(ISNUMBER(D98)),"Numeric quantity needed",IF(D98&lt;0,"Quantity below zero","Ready")))))))))))</f>
        <v/>
      </c>
    </row>
    <row r="99" spans="1:10" ht="40" customHeight="1">
      <c r="A99" s="1"/>
      <c r="B99" s="4"/>
      <c r="C99" s="4"/>
      <c r="D99" s="15"/>
      <c r="E99" s="10"/>
      <c r="F99" s="10"/>
      <c r="G99" s="11" t="str">
        <f>IF(LEN(C99)=0,"",IF(COUNTIFS(Elements!$B$9:$B$28,C99,Elements!$C$9:$C$28,"&lt;&gt;")=0,"",INDEX(Elements!$C$9:$C$28,MATCH(C99,Elements!$B$9:$B$28,0))))</f>
        <v/>
      </c>
      <c r="H99" s="8" t="str">
        <f>IF(LEN(C99)=0,"",IF(COUNTIFS(Elements!$B$9:$B$28,C99,Elements!$D$9:$D$28,"&lt;&gt;")=0,"",INDEX(Elements!$D$9:$D$28,MATCH(C99,Elements!$B$9:$B$28,0))))</f>
        <v/>
      </c>
      <c r="I99" s="8" t="str">
        <f t="shared" si="1"/>
        <v/>
      </c>
      <c r="J99" s="7" t="str">
        <f>IF(COUNTA(B99:F99)=0,"",IF(LEN(B99)=0,"Choose segment",IF(COUNTIF(Segments!$B$9:$B$38,B99)=0,"Unknown segment",IF(COUNTIFS(Segments!$B$9:$B$38,B99,Segments!$C$9:$C$38,"&lt;&gt;")=0,"Name segment",IF(LEN(C99)=0,"Choose element",IF(G99="","Name or correct element",IF(LEN(H99)=0,"Enter element weight",IF(NOT(ISNUMBER(H99)),"Numeric weight needed",IF(LEN(D99)=0,"Enter quantity",IF(NOT(ISNUMBER(D99)),"Numeric quantity needed",IF(D99&lt;0,"Quantity below zero","Ready")))))))))))</f>
        <v/>
      </c>
    </row>
    <row r="100" spans="1:10" ht="40" customHeight="1">
      <c r="A100" s="1"/>
      <c r="B100" s="4"/>
      <c r="C100" s="4"/>
      <c r="D100" s="15"/>
      <c r="E100" s="10"/>
      <c r="F100" s="10"/>
      <c r="G100" s="11" t="str">
        <f>IF(LEN(C100)=0,"",IF(COUNTIFS(Elements!$B$9:$B$28,C100,Elements!$C$9:$C$28,"&lt;&gt;")=0,"",INDEX(Elements!$C$9:$C$28,MATCH(C100,Elements!$B$9:$B$28,0))))</f>
        <v/>
      </c>
      <c r="H100" s="8" t="str">
        <f>IF(LEN(C100)=0,"",IF(COUNTIFS(Elements!$B$9:$B$28,C100,Elements!$D$9:$D$28,"&lt;&gt;")=0,"",INDEX(Elements!$D$9:$D$28,MATCH(C100,Elements!$B$9:$B$28,0))))</f>
        <v/>
      </c>
      <c r="I100" s="8" t="str">
        <f t="shared" si="1"/>
        <v/>
      </c>
      <c r="J100" s="7" t="str">
        <f>IF(COUNTA(B100:F100)=0,"",IF(LEN(B100)=0,"Choose segment",IF(COUNTIF(Segments!$B$9:$B$38,B100)=0,"Unknown segment",IF(COUNTIFS(Segments!$B$9:$B$38,B100,Segments!$C$9:$C$38,"&lt;&gt;")=0,"Name segment",IF(LEN(C100)=0,"Choose element",IF(G100="","Name or correct element",IF(LEN(H100)=0,"Enter element weight",IF(NOT(ISNUMBER(H100)),"Numeric weight needed",IF(LEN(D100)=0,"Enter quantity",IF(NOT(ISNUMBER(D100)),"Numeric quantity needed",IF(D100&lt;0,"Quantity below zero","Ready")))))))))))</f>
        <v/>
      </c>
    </row>
    <row r="101" spans="1:10" ht="40" customHeight="1">
      <c r="A101" s="1"/>
      <c r="B101" s="4"/>
      <c r="C101" s="4"/>
      <c r="D101" s="15"/>
      <c r="E101" s="10"/>
      <c r="F101" s="10"/>
      <c r="G101" s="11" t="str">
        <f>IF(LEN(C101)=0,"",IF(COUNTIFS(Elements!$B$9:$B$28,C101,Elements!$C$9:$C$28,"&lt;&gt;")=0,"",INDEX(Elements!$C$9:$C$28,MATCH(C101,Elements!$B$9:$B$28,0))))</f>
        <v/>
      </c>
      <c r="H101" s="8" t="str">
        <f>IF(LEN(C101)=0,"",IF(COUNTIFS(Elements!$B$9:$B$28,C101,Elements!$D$9:$D$28,"&lt;&gt;")=0,"",INDEX(Elements!$D$9:$D$28,MATCH(C101,Elements!$B$9:$B$28,0))))</f>
        <v/>
      </c>
      <c r="I101" s="8" t="str">
        <f t="shared" si="1"/>
        <v/>
      </c>
      <c r="J101" s="7" t="str">
        <f>IF(COUNTA(B101:F101)=0,"",IF(LEN(B101)=0,"Choose segment",IF(COUNTIF(Segments!$B$9:$B$38,B101)=0,"Unknown segment",IF(COUNTIFS(Segments!$B$9:$B$38,B101,Segments!$C$9:$C$38,"&lt;&gt;")=0,"Name segment",IF(LEN(C101)=0,"Choose element",IF(G101="","Name or correct element",IF(LEN(H101)=0,"Enter element weight",IF(NOT(ISNUMBER(H101)),"Numeric weight needed",IF(LEN(D101)=0,"Enter quantity",IF(NOT(ISNUMBER(D101)),"Numeric quantity needed",IF(D101&lt;0,"Quantity below zero","Ready")))))))))))</f>
        <v/>
      </c>
    </row>
    <row r="102" spans="1:10" ht="40" customHeight="1">
      <c r="A102" s="1"/>
      <c r="B102" s="4"/>
      <c r="C102" s="4"/>
      <c r="D102" s="15"/>
      <c r="E102" s="10"/>
      <c r="F102" s="10"/>
      <c r="G102" s="11" t="str">
        <f>IF(LEN(C102)=0,"",IF(COUNTIFS(Elements!$B$9:$B$28,C102,Elements!$C$9:$C$28,"&lt;&gt;")=0,"",INDEX(Elements!$C$9:$C$28,MATCH(C102,Elements!$B$9:$B$28,0))))</f>
        <v/>
      </c>
      <c r="H102" s="8" t="str">
        <f>IF(LEN(C102)=0,"",IF(COUNTIFS(Elements!$B$9:$B$28,C102,Elements!$D$9:$D$28,"&lt;&gt;")=0,"",INDEX(Elements!$D$9:$D$28,MATCH(C102,Elements!$B$9:$B$28,0))))</f>
        <v/>
      </c>
      <c r="I102" s="8" t="str">
        <f t="shared" si="1"/>
        <v/>
      </c>
      <c r="J102" s="7" t="str">
        <f>IF(COUNTA(B102:F102)=0,"",IF(LEN(B102)=0,"Choose segment",IF(COUNTIF(Segments!$B$9:$B$38,B102)=0,"Unknown segment",IF(COUNTIFS(Segments!$B$9:$B$38,B102,Segments!$C$9:$C$38,"&lt;&gt;")=0,"Name segment",IF(LEN(C102)=0,"Choose element",IF(G102="","Name or correct element",IF(LEN(H102)=0,"Enter element weight",IF(NOT(ISNUMBER(H102)),"Numeric weight needed",IF(LEN(D102)=0,"Enter quantity",IF(NOT(ISNUMBER(D102)),"Numeric quantity needed",IF(D102&lt;0,"Quantity below zero","Ready")))))))))))</f>
        <v/>
      </c>
    </row>
    <row r="103" spans="1:10" ht="40" customHeight="1">
      <c r="A103" s="1"/>
      <c r="B103" s="4"/>
      <c r="C103" s="4"/>
      <c r="D103" s="15"/>
      <c r="E103" s="10"/>
      <c r="F103" s="10"/>
      <c r="G103" s="11" t="str">
        <f>IF(LEN(C103)=0,"",IF(COUNTIFS(Elements!$B$9:$B$28,C103,Elements!$C$9:$C$28,"&lt;&gt;")=0,"",INDEX(Elements!$C$9:$C$28,MATCH(C103,Elements!$B$9:$B$28,0))))</f>
        <v/>
      </c>
      <c r="H103" s="8" t="str">
        <f>IF(LEN(C103)=0,"",IF(COUNTIFS(Elements!$B$9:$B$28,C103,Elements!$D$9:$D$28,"&lt;&gt;")=0,"",INDEX(Elements!$D$9:$D$28,MATCH(C103,Elements!$B$9:$B$28,0))))</f>
        <v/>
      </c>
      <c r="I103" s="8" t="str">
        <f t="shared" si="1"/>
        <v/>
      </c>
      <c r="J103" s="7" t="str">
        <f>IF(COUNTA(B103:F103)=0,"",IF(LEN(B103)=0,"Choose segment",IF(COUNTIF(Segments!$B$9:$B$38,B103)=0,"Unknown segment",IF(COUNTIFS(Segments!$B$9:$B$38,B103,Segments!$C$9:$C$38,"&lt;&gt;")=0,"Name segment",IF(LEN(C103)=0,"Choose element",IF(G103="","Name or correct element",IF(LEN(H103)=0,"Enter element weight",IF(NOT(ISNUMBER(H103)),"Numeric weight needed",IF(LEN(D103)=0,"Enter quantity",IF(NOT(ISNUMBER(D103)),"Numeric quantity needed",IF(D103&lt;0,"Quantity below zero","Ready")))))))))))</f>
        <v/>
      </c>
    </row>
    <row r="104" spans="1:10" ht="40" customHeight="1">
      <c r="A104" s="1"/>
      <c r="B104" s="4"/>
      <c r="C104" s="4"/>
      <c r="D104" s="15"/>
      <c r="E104" s="10"/>
      <c r="F104" s="10"/>
      <c r="G104" s="11" t="str">
        <f>IF(LEN(C104)=0,"",IF(COUNTIFS(Elements!$B$9:$B$28,C104,Elements!$C$9:$C$28,"&lt;&gt;")=0,"",INDEX(Elements!$C$9:$C$28,MATCH(C104,Elements!$B$9:$B$28,0))))</f>
        <v/>
      </c>
      <c r="H104" s="8" t="str">
        <f>IF(LEN(C104)=0,"",IF(COUNTIFS(Elements!$B$9:$B$28,C104,Elements!$D$9:$D$28,"&lt;&gt;")=0,"",INDEX(Elements!$D$9:$D$28,MATCH(C104,Elements!$B$9:$B$28,0))))</f>
        <v/>
      </c>
      <c r="I104" s="8" t="str">
        <f t="shared" si="1"/>
        <v/>
      </c>
      <c r="J104" s="7" t="str">
        <f>IF(COUNTA(B104:F104)=0,"",IF(LEN(B104)=0,"Choose segment",IF(COUNTIF(Segments!$B$9:$B$38,B104)=0,"Unknown segment",IF(COUNTIFS(Segments!$B$9:$B$38,B104,Segments!$C$9:$C$38,"&lt;&gt;")=0,"Name segment",IF(LEN(C104)=0,"Choose element",IF(G104="","Name or correct element",IF(LEN(H104)=0,"Enter element weight",IF(NOT(ISNUMBER(H104)),"Numeric weight needed",IF(LEN(D104)=0,"Enter quantity",IF(NOT(ISNUMBER(D104)),"Numeric quantity needed",IF(D104&lt;0,"Quantity below zero","Ready")))))))))))</f>
        <v/>
      </c>
    </row>
    <row r="105" spans="1:10" ht="40" customHeight="1">
      <c r="A105" s="1"/>
      <c r="B105" s="4"/>
      <c r="C105" s="4"/>
      <c r="D105" s="15"/>
      <c r="E105" s="10"/>
      <c r="F105" s="10"/>
      <c r="G105" s="11" t="str">
        <f>IF(LEN(C105)=0,"",IF(COUNTIFS(Elements!$B$9:$B$28,C105,Elements!$C$9:$C$28,"&lt;&gt;")=0,"",INDEX(Elements!$C$9:$C$28,MATCH(C105,Elements!$B$9:$B$28,0))))</f>
        <v/>
      </c>
      <c r="H105" s="8" t="str">
        <f>IF(LEN(C105)=0,"",IF(COUNTIFS(Elements!$B$9:$B$28,C105,Elements!$D$9:$D$28,"&lt;&gt;")=0,"",INDEX(Elements!$D$9:$D$28,MATCH(C105,Elements!$B$9:$B$28,0))))</f>
        <v/>
      </c>
      <c r="I105" s="8" t="str">
        <f t="shared" si="1"/>
        <v/>
      </c>
      <c r="J105" s="7" t="str">
        <f>IF(COUNTA(B105:F105)=0,"",IF(LEN(B105)=0,"Choose segment",IF(COUNTIF(Segments!$B$9:$B$38,B105)=0,"Unknown segment",IF(COUNTIFS(Segments!$B$9:$B$38,B105,Segments!$C$9:$C$38,"&lt;&gt;")=0,"Name segment",IF(LEN(C105)=0,"Choose element",IF(G105="","Name or correct element",IF(LEN(H105)=0,"Enter element weight",IF(NOT(ISNUMBER(H105)),"Numeric weight needed",IF(LEN(D105)=0,"Enter quantity",IF(NOT(ISNUMBER(D105)),"Numeric quantity needed",IF(D105&lt;0,"Quantity below zero","Ready")))))))))))</f>
        <v/>
      </c>
    </row>
    <row r="106" spans="1:10" ht="40" customHeight="1">
      <c r="A106" s="1"/>
      <c r="B106" s="4"/>
      <c r="C106" s="4"/>
      <c r="D106" s="15"/>
      <c r="E106" s="10"/>
      <c r="F106" s="10"/>
      <c r="G106" s="11" t="str">
        <f>IF(LEN(C106)=0,"",IF(COUNTIFS(Elements!$B$9:$B$28,C106,Elements!$C$9:$C$28,"&lt;&gt;")=0,"",INDEX(Elements!$C$9:$C$28,MATCH(C106,Elements!$B$9:$B$28,0))))</f>
        <v/>
      </c>
      <c r="H106" s="8" t="str">
        <f>IF(LEN(C106)=0,"",IF(COUNTIFS(Elements!$B$9:$B$28,C106,Elements!$D$9:$D$28,"&lt;&gt;")=0,"",INDEX(Elements!$D$9:$D$28,MATCH(C106,Elements!$B$9:$B$28,0))))</f>
        <v/>
      </c>
      <c r="I106" s="8" t="str">
        <f t="shared" si="1"/>
        <v/>
      </c>
      <c r="J106" s="7" t="str">
        <f>IF(COUNTA(B106:F106)=0,"",IF(LEN(B106)=0,"Choose segment",IF(COUNTIF(Segments!$B$9:$B$38,B106)=0,"Unknown segment",IF(COUNTIFS(Segments!$B$9:$B$38,B106,Segments!$C$9:$C$38,"&lt;&gt;")=0,"Name segment",IF(LEN(C106)=0,"Choose element",IF(G106="","Name or correct element",IF(LEN(H106)=0,"Enter element weight",IF(NOT(ISNUMBER(H106)),"Numeric weight needed",IF(LEN(D106)=0,"Enter quantity",IF(NOT(ISNUMBER(D106)),"Numeric quantity needed",IF(D106&lt;0,"Quantity below zero","Ready")))))))))))</f>
        <v/>
      </c>
    </row>
    <row r="107" spans="1:10" ht="40" customHeight="1">
      <c r="A107" s="1"/>
      <c r="B107" s="4"/>
      <c r="C107" s="4"/>
      <c r="D107" s="15"/>
      <c r="E107" s="10"/>
      <c r="F107" s="10"/>
      <c r="G107" s="11" t="str">
        <f>IF(LEN(C107)=0,"",IF(COUNTIFS(Elements!$B$9:$B$28,C107,Elements!$C$9:$C$28,"&lt;&gt;")=0,"",INDEX(Elements!$C$9:$C$28,MATCH(C107,Elements!$B$9:$B$28,0))))</f>
        <v/>
      </c>
      <c r="H107" s="8" t="str">
        <f>IF(LEN(C107)=0,"",IF(COUNTIFS(Elements!$B$9:$B$28,C107,Elements!$D$9:$D$28,"&lt;&gt;")=0,"",INDEX(Elements!$D$9:$D$28,MATCH(C107,Elements!$B$9:$B$28,0))))</f>
        <v/>
      </c>
      <c r="I107" s="8" t="str">
        <f t="shared" si="1"/>
        <v/>
      </c>
      <c r="J107" s="7" t="str">
        <f>IF(COUNTA(B107:F107)=0,"",IF(LEN(B107)=0,"Choose segment",IF(COUNTIF(Segments!$B$9:$B$38,B107)=0,"Unknown segment",IF(COUNTIFS(Segments!$B$9:$B$38,B107,Segments!$C$9:$C$38,"&lt;&gt;")=0,"Name segment",IF(LEN(C107)=0,"Choose element",IF(G107="","Name or correct element",IF(LEN(H107)=0,"Enter element weight",IF(NOT(ISNUMBER(H107)),"Numeric weight needed",IF(LEN(D107)=0,"Enter quantity",IF(NOT(ISNUMBER(D107)),"Numeric quantity needed",IF(D107&lt;0,"Quantity below zero","Ready")))))))))))</f>
        <v/>
      </c>
    </row>
    <row r="108" spans="1:10" ht="40" customHeight="1">
      <c r="A108" s="1"/>
      <c r="B108" s="4"/>
      <c r="C108" s="4"/>
      <c r="D108" s="15"/>
      <c r="E108" s="10"/>
      <c r="F108" s="10"/>
      <c r="G108" s="11" t="str">
        <f>IF(LEN(C108)=0,"",IF(COUNTIFS(Elements!$B$9:$B$28,C108,Elements!$C$9:$C$28,"&lt;&gt;")=0,"",INDEX(Elements!$C$9:$C$28,MATCH(C108,Elements!$B$9:$B$28,0))))</f>
        <v/>
      </c>
      <c r="H108" s="8" t="str">
        <f>IF(LEN(C108)=0,"",IF(COUNTIFS(Elements!$B$9:$B$28,C108,Elements!$D$9:$D$28,"&lt;&gt;")=0,"",INDEX(Elements!$D$9:$D$28,MATCH(C108,Elements!$B$9:$B$28,0))))</f>
        <v/>
      </c>
      <c r="I108" s="8" t="str">
        <f t="shared" si="1"/>
        <v/>
      </c>
      <c r="J108" s="7" t="str">
        <f>IF(COUNTA(B108:F108)=0,"",IF(LEN(B108)=0,"Choose segment",IF(COUNTIF(Segments!$B$9:$B$38,B108)=0,"Unknown segment",IF(COUNTIFS(Segments!$B$9:$B$38,B108,Segments!$C$9:$C$38,"&lt;&gt;")=0,"Name segment",IF(LEN(C108)=0,"Choose element",IF(G108="","Name or correct element",IF(LEN(H108)=0,"Enter element weight",IF(NOT(ISNUMBER(H108)),"Numeric weight needed",IF(LEN(D108)=0,"Enter quantity",IF(NOT(ISNUMBER(D108)),"Numeric quantity needed",IF(D108&lt;0,"Quantity below zero","Ready")))))))))))</f>
        <v/>
      </c>
    </row>
    <row r="109" spans="1:10" ht="40" customHeight="1">
      <c r="A109" s="1"/>
      <c r="B109" s="4"/>
      <c r="C109" s="4"/>
      <c r="D109" s="15"/>
      <c r="E109" s="10"/>
      <c r="F109" s="10"/>
      <c r="G109" s="11" t="str">
        <f>IF(LEN(C109)=0,"",IF(COUNTIFS(Elements!$B$9:$B$28,C109,Elements!$C$9:$C$28,"&lt;&gt;")=0,"",INDEX(Elements!$C$9:$C$28,MATCH(C109,Elements!$B$9:$B$28,0))))</f>
        <v/>
      </c>
      <c r="H109" s="8" t="str">
        <f>IF(LEN(C109)=0,"",IF(COUNTIFS(Elements!$B$9:$B$28,C109,Elements!$D$9:$D$28,"&lt;&gt;")=0,"",INDEX(Elements!$D$9:$D$28,MATCH(C109,Elements!$B$9:$B$28,0))))</f>
        <v/>
      </c>
      <c r="I109" s="8" t="str">
        <f t="shared" si="1"/>
        <v/>
      </c>
      <c r="J109" s="7" t="str">
        <f>IF(COUNTA(B109:F109)=0,"",IF(LEN(B109)=0,"Choose segment",IF(COUNTIF(Segments!$B$9:$B$38,B109)=0,"Unknown segment",IF(COUNTIFS(Segments!$B$9:$B$38,B109,Segments!$C$9:$C$38,"&lt;&gt;")=0,"Name segment",IF(LEN(C109)=0,"Choose element",IF(G109="","Name or correct element",IF(LEN(H109)=0,"Enter element weight",IF(NOT(ISNUMBER(H109)),"Numeric weight needed",IF(LEN(D109)=0,"Enter quantity",IF(NOT(ISNUMBER(D109)),"Numeric quantity needed",IF(D109&lt;0,"Quantity below zero","Ready")))))))))))</f>
        <v/>
      </c>
    </row>
    <row r="110" spans="1:10" ht="40" customHeight="1">
      <c r="A110" s="1"/>
      <c r="B110" s="4"/>
      <c r="C110" s="4"/>
      <c r="D110" s="15"/>
      <c r="E110" s="10"/>
      <c r="F110" s="10"/>
      <c r="G110" s="11" t="str">
        <f>IF(LEN(C110)=0,"",IF(COUNTIFS(Elements!$B$9:$B$28,C110,Elements!$C$9:$C$28,"&lt;&gt;")=0,"",INDEX(Elements!$C$9:$C$28,MATCH(C110,Elements!$B$9:$B$28,0))))</f>
        <v/>
      </c>
      <c r="H110" s="8" t="str">
        <f>IF(LEN(C110)=0,"",IF(COUNTIFS(Elements!$B$9:$B$28,C110,Elements!$D$9:$D$28,"&lt;&gt;")=0,"",INDEX(Elements!$D$9:$D$28,MATCH(C110,Elements!$B$9:$B$28,0))))</f>
        <v/>
      </c>
      <c r="I110" s="8" t="str">
        <f t="shared" si="1"/>
        <v/>
      </c>
      <c r="J110" s="7" t="str">
        <f>IF(COUNTA(B110:F110)=0,"",IF(LEN(B110)=0,"Choose segment",IF(COUNTIF(Segments!$B$9:$B$38,B110)=0,"Unknown segment",IF(COUNTIFS(Segments!$B$9:$B$38,B110,Segments!$C$9:$C$38,"&lt;&gt;")=0,"Name segment",IF(LEN(C110)=0,"Choose element",IF(G110="","Name or correct element",IF(LEN(H110)=0,"Enter element weight",IF(NOT(ISNUMBER(H110)),"Numeric weight needed",IF(LEN(D110)=0,"Enter quantity",IF(NOT(ISNUMBER(D110)),"Numeric quantity needed",IF(D110&lt;0,"Quantity below zero","Ready")))))))))))</f>
        <v/>
      </c>
    </row>
    <row r="111" spans="1:10" ht="40" customHeight="1">
      <c r="A111" s="1"/>
      <c r="B111" s="4"/>
      <c r="C111" s="4"/>
      <c r="D111" s="15"/>
      <c r="E111" s="10"/>
      <c r="F111" s="10"/>
      <c r="G111" s="11" t="str">
        <f>IF(LEN(C111)=0,"",IF(COUNTIFS(Elements!$B$9:$B$28,C111,Elements!$C$9:$C$28,"&lt;&gt;")=0,"",INDEX(Elements!$C$9:$C$28,MATCH(C111,Elements!$B$9:$B$28,0))))</f>
        <v/>
      </c>
      <c r="H111" s="8" t="str">
        <f>IF(LEN(C111)=0,"",IF(COUNTIFS(Elements!$B$9:$B$28,C111,Elements!$D$9:$D$28,"&lt;&gt;")=0,"",INDEX(Elements!$D$9:$D$28,MATCH(C111,Elements!$B$9:$B$28,0))))</f>
        <v/>
      </c>
      <c r="I111" s="8" t="str">
        <f t="shared" si="1"/>
        <v/>
      </c>
      <c r="J111" s="7" t="str">
        <f>IF(COUNTA(B111:F111)=0,"",IF(LEN(B111)=0,"Choose segment",IF(COUNTIF(Segments!$B$9:$B$38,B111)=0,"Unknown segment",IF(COUNTIFS(Segments!$B$9:$B$38,B111,Segments!$C$9:$C$38,"&lt;&gt;")=0,"Name segment",IF(LEN(C111)=0,"Choose element",IF(G111="","Name or correct element",IF(LEN(H111)=0,"Enter element weight",IF(NOT(ISNUMBER(H111)),"Numeric weight needed",IF(LEN(D111)=0,"Enter quantity",IF(NOT(ISNUMBER(D111)),"Numeric quantity needed",IF(D111&lt;0,"Quantity below zero","Ready")))))))))))</f>
        <v/>
      </c>
    </row>
    <row r="112" spans="1:10" ht="40" customHeight="1">
      <c r="A112" s="1"/>
      <c r="B112" s="4"/>
      <c r="C112" s="4"/>
      <c r="D112" s="15"/>
      <c r="E112" s="10"/>
      <c r="F112" s="10"/>
      <c r="G112" s="11" t="str">
        <f>IF(LEN(C112)=0,"",IF(COUNTIFS(Elements!$B$9:$B$28,C112,Elements!$C$9:$C$28,"&lt;&gt;")=0,"",INDEX(Elements!$C$9:$C$28,MATCH(C112,Elements!$B$9:$B$28,0))))</f>
        <v/>
      </c>
      <c r="H112" s="8" t="str">
        <f>IF(LEN(C112)=0,"",IF(COUNTIFS(Elements!$B$9:$B$28,C112,Elements!$D$9:$D$28,"&lt;&gt;")=0,"",INDEX(Elements!$D$9:$D$28,MATCH(C112,Elements!$B$9:$B$28,0))))</f>
        <v/>
      </c>
      <c r="I112" s="8" t="str">
        <f t="shared" si="1"/>
        <v/>
      </c>
      <c r="J112" s="7" t="str">
        <f>IF(COUNTA(B112:F112)=0,"",IF(LEN(B112)=0,"Choose segment",IF(COUNTIF(Segments!$B$9:$B$38,B112)=0,"Unknown segment",IF(COUNTIFS(Segments!$B$9:$B$38,B112,Segments!$C$9:$C$38,"&lt;&gt;")=0,"Name segment",IF(LEN(C112)=0,"Choose element",IF(G112="","Name or correct element",IF(LEN(H112)=0,"Enter element weight",IF(NOT(ISNUMBER(H112)),"Numeric weight needed",IF(LEN(D112)=0,"Enter quantity",IF(NOT(ISNUMBER(D112)),"Numeric quantity needed",IF(D112&lt;0,"Quantity below zero","Ready")))))))))))</f>
        <v/>
      </c>
    </row>
    <row r="113" spans="1:10" ht="40" customHeight="1">
      <c r="A113" s="1"/>
      <c r="B113" s="4"/>
      <c r="C113" s="4"/>
      <c r="D113" s="15"/>
      <c r="E113" s="10"/>
      <c r="F113" s="10"/>
      <c r="G113" s="11" t="str">
        <f>IF(LEN(C113)=0,"",IF(COUNTIFS(Elements!$B$9:$B$28,C113,Elements!$C$9:$C$28,"&lt;&gt;")=0,"",INDEX(Elements!$C$9:$C$28,MATCH(C113,Elements!$B$9:$B$28,0))))</f>
        <v/>
      </c>
      <c r="H113" s="8" t="str">
        <f>IF(LEN(C113)=0,"",IF(COUNTIFS(Elements!$B$9:$B$28,C113,Elements!$D$9:$D$28,"&lt;&gt;")=0,"",INDEX(Elements!$D$9:$D$28,MATCH(C113,Elements!$B$9:$B$28,0))))</f>
        <v/>
      </c>
      <c r="I113" s="8" t="str">
        <f t="shared" si="1"/>
        <v/>
      </c>
      <c r="J113" s="7" t="str">
        <f>IF(COUNTA(B113:F113)=0,"",IF(LEN(B113)=0,"Choose segment",IF(COUNTIF(Segments!$B$9:$B$38,B113)=0,"Unknown segment",IF(COUNTIFS(Segments!$B$9:$B$38,B113,Segments!$C$9:$C$38,"&lt;&gt;")=0,"Name segment",IF(LEN(C113)=0,"Choose element",IF(G113="","Name or correct element",IF(LEN(H113)=0,"Enter element weight",IF(NOT(ISNUMBER(H113)),"Numeric weight needed",IF(LEN(D113)=0,"Enter quantity",IF(NOT(ISNUMBER(D113)),"Numeric quantity needed",IF(D113&lt;0,"Quantity below zero","Ready")))))))))))</f>
        <v/>
      </c>
    </row>
    <row r="114" spans="1:10" ht="40" customHeight="1">
      <c r="A114" s="1"/>
      <c r="B114" s="4"/>
      <c r="C114" s="4"/>
      <c r="D114" s="15"/>
      <c r="E114" s="10"/>
      <c r="F114" s="10"/>
      <c r="G114" s="11" t="str">
        <f>IF(LEN(C114)=0,"",IF(COUNTIFS(Elements!$B$9:$B$28,C114,Elements!$C$9:$C$28,"&lt;&gt;")=0,"",INDEX(Elements!$C$9:$C$28,MATCH(C114,Elements!$B$9:$B$28,0))))</f>
        <v/>
      </c>
      <c r="H114" s="8" t="str">
        <f>IF(LEN(C114)=0,"",IF(COUNTIFS(Elements!$B$9:$B$28,C114,Elements!$D$9:$D$28,"&lt;&gt;")=0,"",INDEX(Elements!$D$9:$D$28,MATCH(C114,Elements!$B$9:$B$28,0))))</f>
        <v/>
      </c>
      <c r="I114" s="8" t="str">
        <f t="shared" si="1"/>
        <v/>
      </c>
      <c r="J114" s="7" t="str">
        <f>IF(COUNTA(B114:F114)=0,"",IF(LEN(B114)=0,"Choose segment",IF(COUNTIF(Segments!$B$9:$B$38,B114)=0,"Unknown segment",IF(COUNTIFS(Segments!$B$9:$B$38,B114,Segments!$C$9:$C$38,"&lt;&gt;")=0,"Name segment",IF(LEN(C114)=0,"Choose element",IF(G114="","Name or correct element",IF(LEN(H114)=0,"Enter element weight",IF(NOT(ISNUMBER(H114)),"Numeric weight needed",IF(LEN(D114)=0,"Enter quantity",IF(NOT(ISNUMBER(D114)),"Numeric quantity needed",IF(D114&lt;0,"Quantity below zero","Ready")))))))))))</f>
        <v/>
      </c>
    </row>
    <row r="115" spans="1:10" ht="40" customHeight="1">
      <c r="A115" s="1"/>
      <c r="B115" s="4"/>
      <c r="C115" s="4"/>
      <c r="D115" s="15"/>
      <c r="E115" s="10"/>
      <c r="F115" s="10"/>
      <c r="G115" s="11" t="str">
        <f>IF(LEN(C115)=0,"",IF(COUNTIFS(Elements!$B$9:$B$28,C115,Elements!$C$9:$C$28,"&lt;&gt;")=0,"",INDEX(Elements!$C$9:$C$28,MATCH(C115,Elements!$B$9:$B$28,0))))</f>
        <v/>
      </c>
      <c r="H115" s="8" t="str">
        <f>IF(LEN(C115)=0,"",IF(COUNTIFS(Elements!$B$9:$B$28,C115,Elements!$D$9:$D$28,"&lt;&gt;")=0,"",INDEX(Elements!$D$9:$D$28,MATCH(C115,Elements!$B$9:$B$28,0))))</f>
        <v/>
      </c>
      <c r="I115" s="8" t="str">
        <f t="shared" si="1"/>
        <v/>
      </c>
      <c r="J115" s="7" t="str">
        <f>IF(COUNTA(B115:F115)=0,"",IF(LEN(B115)=0,"Choose segment",IF(COUNTIF(Segments!$B$9:$B$38,B115)=0,"Unknown segment",IF(COUNTIFS(Segments!$B$9:$B$38,B115,Segments!$C$9:$C$38,"&lt;&gt;")=0,"Name segment",IF(LEN(C115)=0,"Choose element",IF(G115="","Name or correct element",IF(LEN(H115)=0,"Enter element weight",IF(NOT(ISNUMBER(H115)),"Numeric weight needed",IF(LEN(D115)=0,"Enter quantity",IF(NOT(ISNUMBER(D115)),"Numeric quantity needed",IF(D115&lt;0,"Quantity below zero","Ready")))))))))))</f>
        <v/>
      </c>
    </row>
    <row r="116" spans="1:10" ht="40" customHeight="1">
      <c r="A116" s="1"/>
      <c r="B116" s="4"/>
      <c r="C116" s="4"/>
      <c r="D116" s="15"/>
      <c r="E116" s="10"/>
      <c r="F116" s="10"/>
      <c r="G116" s="11" t="str">
        <f>IF(LEN(C116)=0,"",IF(COUNTIFS(Elements!$B$9:$B$28,C116,Elements!$C$9:$C$28,"&lt;&gt;")=0,"",INDEX(Elements!$C$9:$C$28,MATCH(C116,Elements!$B$9:$B$28,0))))</f>
        <v/>
      </c>
      <c r="H116" s="8" t="str">
        <f>IF(LEN(C116)=0,"",IF(COUNTIFS(Elements!$B$9:$B$28,C116,Elements!$D$9:$D$28,"&lt;&gt;")=0,"",INDEX(Elements!$D$9:$D$28,MATCH(C116,Elements!$B$9:$B$28,0))))</f>
        <v/>
      </c>
      <c r="I116" s="8" t="str">
        <f t="shared" si="1"/>
        <v/>
      </c>
      <c r="J116" s="7" t="str">
        <f>IF(COUNTA(B116:F116)=0,"",IF(LEN(B116)=0,"Choose segment",IF(COUNTIF(Segments!$B$9:$B$38,B116)=0,"Unknown segment",IF(COUNTIFS(Segments!$B$9:$B$38,B116,Segments!$C$9:$C$38,"&lt;&gt;")=0,"Name segment",IF(LEN(C116)=0,"Choose element",IF(G116="","Name or correct element",IF(LEN(H116)=0,"Enter element weight",IF(NOT(ISNUMBER(H116)),"Numeric weight needed",IF(LEN(D116)=0,"Enter quantity",IF(NOT(ISNUMBER(D116)),"Numeric quantity needed",IF(D116&lt;0,"Quantity below zero","Ready")))))))))))</f>
        <v/>
      </c>
    </row>
    <row r="117" spans="1:10" ht="40" customHeight="1">
      <c r="A117" s="1"/>
      <c r="B117" s="4"/>
      <c r="C117" s="4"/>
      <c r="D117" s="15"/>
      <c r="E117" s="10"/>
      <c r="F117" s="10"/>
      <c r="G117" s="11" t="str">
        <f>IF(LEN(C117)=0,"",IF(COUNTIFS(Elements!$B$9:$B$28,C117,Elements!$C$9:$C$28,"&lt;&gt;")=0,"",INDEX(Elements!$C$9:$C$28,MATCH(C117,Elements!$B$9:$B$28,0))))</f>
        <v/>
      </c>
      <c r="H117" s="8" t="str">
        <f>IF(LEN(C117)=0,"",IF(COUNTIFS(Elements!$B$9:$B$28,C117,Elements!$D$9:$D$28,"&lt;&gt;")=0,"",INDEX(Elements!$D$9:$D$28,MATCH(C117,Elements!$B$9:$B$28,0))))</f>
        <v/>
      </c>
      <c r="I117" s="8" t="str">
        <f t="shared" si="1"/>
        <v/>
      </c>
      <c r="J117" s="7" t="str">
        <f>IF(COUNTA(B117:F117)=0,"",IF(LEN(B117)=0,"Choose segment",IF(COUNTIF(Segments!$B$9:$B$38,B117)=0,"Unknown segment",IF(COUNTIFS(Segments!$B$9:$B$38,B117,Segments!$C$9:$C$38,"&lt;&gt;")=0,"Name segment",IF(LEN(C117)=0,"Choose element",IF(G117="","Name or correct element",IF(LEN(H117)=0,"Enter element weight",IF(NOT(ISNUMBER(H117)),"Numeric weight needed",IF(LEN(D117)=0,"Enter quantity",IF(NOT(ISNUMBER(D117)),"Numeric quantity needed",IF(D117&lt;0,"Quantity below zero","Ready")))))))))))</f>
        <v/>
      </c>
    </row>
    <row r="118" spans="1:10" ht="40" customHeight="1">
      <c r="A118" s="1"/>
      <c r="B118" s="4"/>
      <c r="C118" s="4"/>
      <c r="D118" s="15"/>
      <c r="E118" s="10"/>
      <c r="F118" s="10"/>
      <c r="G118" s="11" t="str">
        <f>IF(LEN(C118)=0,"",IF(COUNTIFS(Elements!$B$9:$B$28,C118,Elements!$C$9:$C$28,"&lt;&gt;")=0,"",INDEX(Elements!$C$9:$C$28,MATCH(C118,Elements!$B$9:$B$28,0))))</f>
        <v/>
      </c>
      <c r="H118" s="8" t="str">
        <f>IF(LEN(C118)=0,"",IF(COUNTIFS(Elements!$B$9:$B$28,C118,Elements!$D$9:$D$28,"&lt;&gt;")=0,"",INDEX(Elements!$D$9:$D$28,MATCH(C118,Elements!$B$9:$B$28,0))))</f>
        <v/>
      </c>
      <c r="I118" s="8" t="str">
        <f t="shared" si="1"/>
        <v/>
      </c>
      <c r="J118" s="7" t="str">
        <f>IF(COUNTA(B118:F118)=0,"",IF(LEN(B118)=0,"Choose segment",IF(COUNTIF(Segments!$B$9:$B$38,B118)=0,"Unknown segment",IF(COUNTIFS(Segments!$B$9:$B$38,B118,Segments!$C$9:$C$38,"&lt;&gt;")=0,"Name segment",IF(LEN(C118)=0,"Choose element",IF(G118="","Name or correct element",IF(LEN(H118)=0,"Enter element weight",IF(NOT(ISNUMBER(H118)),"Numeric weight needed",IF(LEN(D118)=0,"Enter quantity",IF(NOT(ISNUMBER(D118)),"Numeric quantity needed",IF(D118&lt;0,"Quantity below zero","Ready")))))))))))</f>
        <v/>
      </c>
    </row>
    <row r="119" spans="1:10" ht="40" customHeight="1">
      <c r="A119" s="1"/>
      <c r="B119" s="4"/>
      <c r="C119" s="4"/>
      <c r="D119" s="15"/>
      <c r="E119" s="10"/>
      <c r="F119" s="10"/>
      <c r="G119" s="11" t="str">
        <f>IF(LEN(C119)=0,"",IF(COUNTIFS(Elements!$B$9:$B$28,C119,Elements!$C$9:$C$28,"&lt;&gt;")=0,"",INDEX(Elements!$C$9:$C$28,MATCH(C119,Elements!$B$9:$B$28,0))))</f>
        <v/>
      </c>
      <c r="H119" s="8" t="str">
        <f>IF(LEN(C119)=0,"",IF(COUNTIFS(Elements!$B$9:$B$28,C119,Elements!$D$9:$D$28,"&lt;&gt;")=0,"",INDEX(Elements!$D$9:$D$28,MATCH(C119,Elements!$B$9:$B$28,0))))</f>
        <v/>
      </c>
      <c r="I119" s="8" t="str">
        <f t="shared" si="1"/>
        <v/>
      </c>
      <c r="J119" s="7" t="str">
        <f>IF(COUNTA(B119:F119)=0,"",IF(LEN(B119)=0,"Choose segment",IF(COUNTIF(Segments!$B$9:$B$38,B119)=0,"Unknown segment",IF(COUNTIFS(Segments!$B$9:$B$38,B119,Segments!$C$9:$C$38,"&lt;&gt;")=0,"Name segment",IF(LEN(C119)=0,"Choose element",IF(G119="","Name or correct element",IF(LEN(H119)=0,"Enter element weight",IF(NOT(ISNUMBER(H119)),"Numeric weight needed",IF(LEN(D119)=0,"Enter quantity",IF(NOT(ISNUMBER(D119)),"Numeric quantity needed",IF(D119&lt;0,"Quantity below zero","Ready")))))))))))</f>
        <v/>
      </c>
    </row>
    <row r="120" spans="1:10" ht="40" customHeight="1">
      <c r="A120" s="1"/>
      <c r="B120" s="4"/>
      <c r="C120" s="4"/>
      <c r="D120" s="15"/>
      <c r="E120" s="10"/>
      <c r="F120" s="10"/>
      <c r="G120" s="11" t="str">
        <f>IF(LEN(C120)=0,"",IF(COUNTIFS(Elements!$B$9:$B$28,C120,Elements!$C$9:$C$28,"&lt;&gt;")=0,"",INDEX(Elements!$C$9:$C$28,MATCH(C120,Elements!$B$9:$B$28,0))))</f>
        <v/>
      </c>
      <c r="H120" s="8" t="str">
        <f>IF(LEN(C120)=0,"",IF(COUNTIFS(Elements!$B$9:$B$28,C120,Elements!$D$9:$D$28,"&lt;&gt;")=0,"",INDEX(Elements!$D$9:$D$28,MATCH(C120,Elements!$B$9:$B$28,0))))</f>
        <v/>
      </c>
      <c r="I120" s="8" t="str">
        <f t="shared" si="1"/>
        <v/>
      </c>
      <c r="J120" s="7" t="str">
        <f>IF(COUNTA(B120:F120)=0,"",IF(LEN(B120)=0,"Choose segment",IF(COUNTIF(Segments!$B$9:$B$38,B120)=0,"Unknown segment",IF(COUNTIFS(Segments!$B$9:$B$38,B120,Segments!$C$9:$C$38,"&lt;&gt;")=0,"Name segment",IF(LEN(C120)=0,"Choose element",IF(G120="","Name or correct element",IF(LEN(H120)=0,"Enter element weight",IF(NOT(ISNUMBER(H120)),"Numeric weight needed",IF(LEN(D120)=0,"Enter quantity",IF(NOT(ISNUMBER(D120)),"Numeric quantity needed",IF(D120&lt;0,"Quantity below zero","Ready")))))))))))</f>
        <v/>
      </c>
    </row>
    <row r="121" spans="1:10" ht="40" customHeight="1">
      <c r="A121" s="1"/>
      <c r="B121" s="4"/>
      <c r="C121" s="4"/>
      <c r="D121" s="15"/>
      <c r="E121" s="10"/>
      <c r="F121" s="10"/>
      <c r="G121" s="11" t="str">
        <f>IF(LEN(C121)=0,"",IF(COUNTIFS(Elements!$B$9:$B$28,C121,Elements!$C$9:$C$28,"&lt;&gt;")=0,"",INDEX(Elements!$C$9:$C$28,MATCH(C121,Elements!$B$9:$B$28,0))))</f>
        <v/>
      </c>
      <c r="H121" s="8" t="str">
        <f>IF(LEN(C121)=0,"",IF(COUNTIFS(Elements!$B$9:$B$28,C121,Elements!$D$9:$D$28,"&lt;&gt;")=0,"",INDEX(Elements!$D$9:$D$28,MATCH(C121,Elements!$B$9:$B$28,0))))</f>
        <v/>
      </c>
      <c r="I121" s="8" t="str">
        <f t="shared" si="1"/>
        <v/>
      </c>
      <c r="J121" s="7" t="str">
        <f>IF(COUNTA(B121:F121)=0,"",IF(LEN(B121)=0,"Choose segment",IF(COUNTIF(Segments!$B$9:$B$38,B121)=0,"Unknown segment",IF(COUNTIFS(Segments!$B$9:$B$38,B121,Segments!$C$9:$C$38,"&lt;&gt;")=0,"Name segment",IF(LEN(C121)=0,"Choose element",IF(G121="","Name or correct element",IF(LEN(H121)=0,"Enter element weight",IF(NOT(ISNUMBER(H121)),"Numeric weight needed",IF(LEN(D121)=0,"Enter quantity",IF(NOT(ISNUMBER(D121)),"Numeric quantity needed",IF(D121&lt;0,"Quantity below zero","Ready")))))))))))</f>
        <v/>
      </c>
    </row>
    <row r="122" spans="1:10" ht="40" customHeight="1">
      <c r="A122" s="1"/>
      <c r="B122" s="4"/>
      <c r="C122" s="4"/>
      <c r="D122" s="15"/>
      <c r="E122" s="10"/>
      <c r="F122" s="10"/>
      <c r="G122" s="11" t="str">
        <f>IF(LEN(C122)=0,"",IF(COUNTIFS(Elements!$B$9:$B$28,C122,Elements!$C$9:$C$28,"&lt;&gt;")=0,"",INDEX(Elements!$C$9:$C$28,MATCH(C122,Elements!$B$9:$B$28,0))))</f>
        <v/>
      </c>
      <c r="H122" s="8" t="str">
        <f>IF(LEN(C122)=0,"",IF(COUNTIFS(Elements!$B$9:$B$28,C122,Elements!$D$9:$D$28,"&lt;&gt;")=0,"",INDEX(Elements!$D$9:$D$28,MATCH(C122,Elements!$B$9:$B$28,0))))</f>
        <v/>
      </c>
      <c r="I122" s="8" t="str">
        <f t="shared" si="1"/>
        <v/>
      </c>
      <c r="J122" s="7" t="str">
        <f>IF(COUNTA(B122:F122)=0,"",IF(LEN(B122)=0,"Choose segment",IF(COUNTIF(Segments!$B$9:$B$38,B122)=0,"Unknown segment",IF(COUNTIFS(Segments!$B$9:$B$38,B122,Segments!$C$9:$C$38,"&lt;&gt;")=0,"Name segment",IF(LEN(C122)=0,"Choose element",IF(G122="","Name or correct element",IF(LEN(H122)=0,"Enter element weight",IF(NOT(ISNUMBER(H122)),"Numeric weight needed",IF(LEN(D122)=0,"Enter quantity",IF(NOT(ISNUMBER(D122)),"Numeric quantity needed",IF(D122&lt;0,"Quantity below zero","Ready")))))))))))</f>
        <v/>
      </c>
    </row>
    <row r="123" spans="1:10" ht="40" customHeight="1">
      <c r="A123" s="1"/>
      <c r="B123" s="4"/>
      <c r="C123" s="4"/>
      <c r="D123" s="15"/>
      <c r="E123" s="10"/>
      <c r="F123" s="10"/>
      <c r="G123" s="11" t="str">
        <f>IF(LEN(C123)=0,"",IF(COUNTIFS(Elements!$B$9:$B$28,C123,Elements!$C$9:$C$28,"&lt;&gt;")=0,"",INDEX(Elements!$C$9:$C$28,MATCH(C123,Elements!$B$9:$B$28,0))))</f>
        <v/>
      </c>
      <c r="H123" s="8" t="str">
        <f>IF(LEN(C123)=0,"",IF(COUNTIFS(Elements!$B$9:$B$28,C123,Elements!$D$9:$D$28,"&lt;&gt;")=0,"",INDEX(Elements!$D$9:$D$28,MATCH(C123,Elements!$B$9:$B$28,0))))</f>
        <v/>
      </c>
      <c r="I123" s="8" t="str">
        <f t="shared" si="1"/>
        <v/>
      </c>
      <c r="J123" s="7" t="str">
        <f>IF(COUNTA(B123:F123)=0,"",IF(LEN(B123)=0,"Choose segment",IF(COUNTIF(Segments!$B$9:$B$38,B123)=0,"Unknown segment",IF(COUNTIFS(Segments!$B$9:$B$38,B123,Segments!$C$9:$C$38,"&lt;&gt;")=0,"Name segment",IF(LEN(C123)=0,"Choose element",IF(G123="","Name or correct element",IF(LEN(H123)=0,"Enter element weight",IF(NOT(ISNUMBER(H123)),"Numeric weight needed",IF(LEN(D123)=0,"Enter quantity",IF(NOT(ISNUMBER(D123)),"Numeric quantity needed",IF(D123&lt;0,"Quantity below zero","Ready")))))))))))</f>
        <v/>
      </c>
    </row>
    <row r="124" spans="1:10" ht="40" customHeight="1">
      <c r="A124" s="1"/>
      <c r="B124" s="4"/>
      <c r="C124" s="4"/>
      <c r="D124" s="15"/>
      <c r="E124" s="10"/>
      <c r="F124" s="10"/>
      <c r="G124" s="11" t="str">
        <f>IF(LEN(C124)=0,"",IF(COUNTIFS(Elements!$B$9:$B$28,C124,Elements!$C$9:$C$28,"&lt;&gt;")=0,"",INDEX(Elements!$C$9:$C$28,MATCH(C124,Elements!$B$9:$B$28,0))))</f>
        <v/>
      </c>
      <c r="H124" s="8" t="str">
        <f>IF(LEN(C124)=0,"",IF(COUNTIFS(Elements!$B$9:$B$28,C124,Elements!$D$9:$D$28,"&lt;&gt;")=0,"",INDEX(Elements!$D$9:$D$28,MATCH(C124,Elements!$B$9:$B$28,0))))</f>
        <v/>
      </c>
      <c r="I124" s="8" t="str">
        <f t="shared" si="1"/>
        <v/>
      </c>
      <c r="J124" s="7" t="str">
        <f>IF(COUNTA(B124:F124)=0,"",IF(LEN(B124)=0,"Choose segment",IF(COUNTIF(Segments!$B$9:$B$38,B124)=0,"Unknown segment",IF(COUNTIFS(Segments!$B$9:$B$38,B124,Segments!$C$9:$C$38,"&lt;&gt;")=0,"Name segment",IF(LEN(C124)=0,"Choose element",IF(G124="","Name or correct element",IF(LEN(H124)=0,"Enter element weight",IF(NOT(ISNUMBER(H124)),"Numeric weight needed",IF(LEN(D124)=0,"Enter quantity",IF(NOT(ISNUMBER(D124)),"Numeric quantity needed",IF(D124&lt;0,"Quantity below zero","Ready")))))))))))</f>
        <v/>
      </c>
    </row>
    <row r="125" spans="1:10" ht="40" customHeight="1">
      <c r="A125" s="1"/>
      <c r="B125" s="4"/>
      <c r="C125" s="4"/>
      <c r="D125" s="15"/>
      <c r="E125" s="10"/>
      <c r="F125" s="10"/>
      <c r="G125" s="11" t="str">
        <f>IF(LEN(C125)=0,"",IF(COUNTIFS(Elements!$B$9:$B$28,C125,Elements!$C$9:$C$28,"&lt;&gt;")=0,"",INDEX(Elements!$C$9:$C$28,MATCH(C125,Elements!$B$9:$B$28,0))))</f>
        <v/>
      </c>
      <c r="H125" s="8" t="str">
        <f>IF(LEN(C125)=0,"",IF(COUNTIFS(Elements!$B$9:$B$28,C125,Elements!$D$9:$D$28,"&lt;&gt;")=0,"",INDEX(Elements!$D$9:$D$28,MATCH(C125,Elements!$B$9:$B$28,0))))</f>
        <v/>
      </c>
      <c r="I125" s="8" t="str">
        <f t="shared" si="1"/>
        <v/>
      </c>
      <c r="J125" s="7" t="str">
        <f>IF(COUNTA(B125:F125)=0,"",IF(LEN(B125)=0,"Choose segment",IF(COUNTIF(Segments!$B$9:$B$38,B125)=0,"Unknown segment",IF(COUNTIFS(Segments!$B$9:$B$38,B125,Segments!$C$9:$C$38,"&lt;&gt;")=0,"Name segment",IF(LEN(C125)=0,"Choose element",IF(G125="","Name or correct element",IF(LEN(H125)=0,"Enter element weight",IF(NOT(ISNUMBER(H125)),"Numeric weight needed",IF(LEN(D125)=0,"Enter quantity",IF(NOT(ISNUMBER(D125)),"Numeric quantity needed",IF(D125&lt;0,"Quantity below zero","Ready")))))))))))</f>
        <v/>
      </c>
    </row>
    <row r="126" spans="1:10" ht="40" customHeight="1">
      <c r="A126" s="1"/>
      <c r="B126" s="4"/>
      <c r="C126" s="4"/>
      <c r="D126" s="15"/>
      <c r="E126" s="10"/>
      <c r="F126" s="10"/>
      <c r="G126" s="11" t="str">
        <f>IF(LEN(C126)=0,"",IF(COUNTIFS(Elements!$B$9:$B$28,C126,Elements!$C$9:$C$28,"&lt;&gt;")=0,"",INDEX(Elements!$C$9:$C$28,MATCH(C126,Elements!$B$9:$B$28,0))))</f>
        <v/>
      </c>
      <c r="H126" s="8" t="str">
        <f>IF(LEN(C126)=0,"",IF(COUNTIFS(Elements!$B$9:$B$28,C126,Elements!$D$9:$D$28,"&lt;&gt;")=0,"",INDEX(Elements!$D$9:$D$28,MATCH(C126,Elements!$B$9:$B$28,0))))</f>
        <v/>
      </c>
      <c r="I126" s="8" t="str">
        <f t="shared" si="1"/>
        <v/>
      </c>
      <c r="J126" s="7" t="str">
        <f>IF(COUNTA(B126:F126)=0,"",IF(LEN(B126)=0,"Choose segment",IF(COUNTIF(Segments!$B$9:$B$38,B126)=0,"Unknown segment",IF(COUNTIFS(Segments!$B$9:$B$38,B126,Segments!$C$9:$C$38,"&lt;&gt;")=0,"Name segment",IF(LEN(C126)=0,"Choose element",IF(G126="","Name or correct element",IF(LEN(H126)=0,"Enter element weight",IF(NOT(ISNUMBER(H126)),"Numeric weight needed",IF(LEN(D126)=0,"Enter quantity",IF(NOT(ISNUMBER(D126)),"Numeric quantity needed",IF(D126&lt;0,"Quantity below zero","Ready")))))))))))</f>
        <v/>
      </c>
    </row>
    <row r="127" spans="1:10" ht="40" customHeight="1">
      <c r="A127" s="1"/>
      <c r="B127" s="4"/>
      <c r="C127" s="4"/>
      <c r="D127" s="15"/>
      <c r="E127" s="10"/>
      <c r="F127" s="10"/>
      <c r="G127" s="11" t="str">
        <f>IF(LEN(C127)=0,"",IF(COUNTIFS(Elements!$B$9:$B$28,C127,Elements!$C$9:$C$28,"&lt;&gt;")=0,"",INDEX(Elements!$C$9:$C$28,MATCH(C127,Elements!$B$9:$B$28,0))))</f>
        <v/>
      </c>
      <c r="H127" s="8" t="str">
        <f>IF(LEN(C127)=0,"",IF(COUNTIFS(Elements!$B$9:$B$28,C127,Elements!$D$9:$D$28,"&lt;&gt;")=0,"",INDEX(Elements!$D$9:$D$28,MATCH(C127,Elements!$B$9:$B$28,0))))</f>
        <v/>
      </c>
      <c r="I127" s="8" t="str">
        <f t="shared" si="1"/>
        <v/>
      </c>
      <c r="J127" s="7" t="str">
        <f>IF(COUNTA(B127:F127)=0,"",IF(LEN(B127)=0,"Choose segment",IF(COUNTIF(Segments!$B$9:$B$38,B127)=0,"Unknown segment",IF(COUNTIFS(Segments!$B$9:$B$38,B127,Segments!$C$9:$C$38,"&lt;&gt;")=0,"Name segment",IF(LEN(C127)=0,"Choose element",IF(G127="","Name or correct element",IF(LEN(H127)=0,"Enter element weight",IF(NOT(ISNUMBER(H127)),"Numeric weight needed",IF(LEN(D127)=0,"Enter quantity",IF(NOT(ISNUMBER(D127)),"Numeric quantity needed",IF(D127&lt;0,"Quantity below zero","Ready")))))))))))</f>
        <v/>
      </c>
    </row>
    <row r="128" spans="1:10" ht="40" customHeight="1">
      <c r="A128" s="1"/>
      <c r="B128" s="4"/>
      <c r="C128" s="4"/>
      <c r="D128" s="15"/>
      <c r="E128" s="10"/>
      <c r="F128" s="10"/>
      <c r="G128" s="11" t="str">
        <f>IF(LEN(C128)=0,"",IF(COUNTIFS(Elements!$B$9:$B$28,C128,Elements!$C$9:$C$28,"&lt;&gt;")=0,"",INDEX(Elements!$C$9:$C$28,MATCH(C128,Elements!$B$9:$B$28,0))))</f>
        <v/>
      </c>
      <c r="H128" s="8" t="str">
        <f>IF(LEN(C128)=0,"",IF(COUNTIFS(Elements!$B$9:$B$28,C128,Elements!$D$9:$D$28,"&lt;&gt;")=0,"",INDEX(Elements!$D$9:$D$28,MATCH(C128,Elements!$B$9:$B$28,0))))</f>
        <v/>
      </c>
      <c r="I128" s="8" t="str">
        <f t="shared" si="1"/>
        <v/>
      </c>
      <c r="J128" s="7" t="str">
        <f>IF(COUNTA(B128:F128)=0,"",IF(LEN(B128)=0,"Choose segment",IF(COUNTIF(Segments!$B$9:$B$38,B128)=0,"Unknown segment",IF(COUNTIFS(Segments!$B$9:$B$38,B128,Segments!$C$9:$C$38,"&lt;&gt;")=0,"Name segment",IF(LEN(C128)=0,"Choose element",IF(G128="","Name or correct element",IF(LEN(H128)=0,"Enter element weight",IF(NOT(ISNUMBER(H128)),"Numeric weight needed",IF(LEN(D128)=0,"Enter quantity",IF(NOT(ISNUMBER(D128)),"Numeric quantity needed",IF(D128&lt;0,"Quantity below zero","Ready")))))))))))</f>
        <v/>
      </c>
    </row>
    <row r="129" spans="1:10" ht="40" customHeight="1">
      <c r="A129" s="1"/>
      <c r="B129" s="4"/>
      <c r="C129" s="4"/>
      <c r="D129" s="15"/>
      <c r="E129" s="10"/>
      <c r="F129" s="10"/>
      <c r="G129" s="11" t="str">
        <f>IF(LEN(C129)=0,"",IF(COUNTIFS(Elements!$B$9:$B$28,C129,Elements!$C$9:$C$28,"&lt;&gt;")=0,"",INDEX(Elements!$C$9:$C$28,MATCH(C129,Elements!$B$9:$B$28,0))))</f>
        <v/>
      </c>
      <c r="H129" s="8" t="str">
        <f>IF(LEN(C129)=0,"",IF(COUNTIFS(Elements!$B$9:$B$28,C129,Elements!$D$9:$D$28,"&lt;&gt;")=0,"",INDEX(Elements!$D$9:$D$28,MATCH(C129,Elements!$B$9:$B$28,0))))</f>
        <v/>
      </c>
      <c r="I129" s="8" t="str">
        <f t="shared" si="1"/>
        <v/>
      </c>
      <c r="J129" s="7" t="str">
        <f>IF(COUNTA(B129:F129)=0,"",IF(LEN(B129)=0,"Choose segment",IF(COUNTIF(Segments!$B$9:$B$38,B129)=0,"Unknown segment",IF(COUNTIFS(Segments!$B$9:$B$38,B129,Segments!$C$9:$C$38,"&lt;&gt;")=0,"Name segment",IF(LEN(C129)=0,"Choose element",IF(G129="","Name or correct element",IF(LEN(H129)=0,"Enter element weight",IF(NOT(ISNUMBER(H129)),"Numeric weight needed",IF(LEN(D129)=0,"Enter quantity",IF(NOT(ISNUMBER(D129)),"Numeric quantity needed",IF(D129&lt;0,"Quantity below zero","Ready")))))))))))</f>
        <v/>
      </c>
    </row>
    <row r="130" spans="1:10" ht="40" customHeight="1">
      <c r="A130" s="1"/>
      <c r="B130" s="4"/>
      <c r="C130" s="4"/>
      <c r="D130" s="15"/>
      <c r="E130" s="10"/>
      <c r="F130" s="10"/>
      <c r="G130" s="11" t="str">
        <f>IF(LEN(C130)=0,"",IF(COUNTIFS(Elements!$B$9:$B$28,C130,Elements!$C$9:$C$28,"&lt;&gt;")=0,"",INDEX(Elements!$C$9:$C$28,MATCH(C130,Elements!$B$9:$B$28,0))))</f>
        <v/>
      </c>
      <c r="H130" s="8" t="str">
        <f>IF(LEN(C130)=0,"",IF(COUNTIFS(Elements!$B$9:$B$28,C130,Elements!$D$9:$D$28,"&lt;&gt;")=0,"",INDEX(Elements!$D$9:$D$28,MATCH(C130,Elements!$B$9:$B$28,0))))</f>
        <v/>
      </c>
      <c r="I130" s="8" t="str">
        <f t="shared" si="1"/>
        <v/>
      </c>
      <c r="J130" s="7" t="str">
        <f>IF(COUNTA(B130:F130)=0,"",IF(LEN(B130)=0,"Choose segment",IF(COUNTIF(Segments!$B$9:$B$38,B130)=0,"Unknown segment",IF(COUNTIFS(Segments!$B$9:$B$38,B130,Segments!$C$9:$C$38,"&lt;&gt;")=0,"Name segment",IF(LEN(C130)=0,"Choose element",IF(G130="","Name or correct element",IF(LEN(H130)=0,"Enter element weight",IF(NOT(ISNUMBER(H130)),"Numeric weight needed",IF(LEN(D130)=0,"Enter quantity",IF(NOT(ISNUMBER(D130)),"Numeric quantity needed",IF(D130&lt;0,"Quantity below zero","Ready")))))))))))</f>
        <v/>
      </c>
    </row>
    <row r="131" spans="1:10" ht="40" customHeight="1">
      <c r="A131" s="1"/>
      <c r="B131" s="4"/>
      <c r="C131" s="4"/>
      <c r="D131" s="15"/>
      <c r="E131" s="10"/>
      <c r="F131" s="10"/>
      <c r="G131" s="11" t="str">
        <f>IF(LEN(C131)=0,"",IF(COUNTIFS(Elements!$B$9:$B$28,C131,Elements!$C$9:$C$28,"&lt;&gt;")=0,"",INDEX(Elements!$C$9:$C$28,MATCH(C131,Elements!$B$9:$B$28,0))))</f>
        <v/>
      </c>
      <c r="H131" s="8" t="str">
        <f>IF(LEN(C131)=0,"",IF(COUNTIFS(Elements!$B$9:$B$28,C131,Elements!$D$9:$D$28,"&lt;&gt;")=0,"",INDEX(Elements!$D$9:$D$28,MATCH(C131,Elements!$B$9:$B$28,0))))</f>
        <v/>
      </c>
      <c r="I131" s="8" t="str">
        <f t="shared" si="1"/>
        <v/>
      </c>
      <c r="J131" s="7" t="str">
        <f>IF(COUNTA(B131:F131)=0,"",IF(LEN(B131)=0,"Choose segment",IF(COUNTIF(Segments!$B$9:$B$38,B131)=0,"Unknown segment",IF(COUNTIFS(Segments!$B$9:$B$38,B131,Segments!$C$9:$C$38,"&lt;&gt;")=0,"Name segment",IF(LEN(C131)=0,"Choose element",IF(G131="","Name or correct element",IF(LEN(H131)=0,"Enter element weight",IF(NOT(ISNUMBER(H131)),"Numeric weight needed",IF(LEN(D131)=0,"Enter quantity",IF(NOT(ISNUMBER(D131)),"Numeric quantity needed",IF(D131&lt;0,"Quantity below zero","Ready")))))))))))</f>
        <v/>
      </c>
    </row>
    <row r="132" spans="1:10" ht="40" customHeight="1">
      <c r="A132" s="1"/>
      <c r="B132" s="4"/>
      <c r="C132" s="4"/>
      <c r="D132" s="15"/>
      <c r="E132" s="10"/>
      <c r="F132" s="10"/>
      <c r="G132" s="11" t="str">
        <f>IF(LEN(C132)=0,"",IF(COUNTIFS(Elements!$B$9:$B$28,C132,Elements!$C$9:$C$28,"&lt;&gt;")=0,"",INDEX(Elements!$C$9:$C$28,MATCH(C132,Elements!$B$9:$B$28,0))))</f>
        <v/>
      </c>
      <c r="H132" s="8" t="str">
        <f>IF(LEN(C132)=0,"",IF(COUNTIFS(Elements!$B$9:$B$28,C132,Elements!$D$9:$D$28,"&lt;&gt;")=0,"",INDEX(Elements!$D$9:$D$28,MATCH(C132,Elements!$B$9:$B$28,0))))</f>
        <v/>
      </c>
      <c r="I132" s="8" t="str">
        <f t="shared" si="1"/>
        <v/>
      </c>
      <c r="J132" s="7" t="str">
        <f>IF(COUNTA(B132:F132)=0,"",IF(LEN(B132)=0,"Choose segment",IF(COUNTIF(Segments!$B$9:$B$38,B132)=0,"Unknown segment",IF(COUNTIFS(Segments!$B$9:$B$38,B132,Segments!$C$9:$C$38,"&lt;&gt;")=0,"Name segment",IF(LEN(C132)=0,"Choose element",IF(G132="","Name or correct element",IF(LEN(H132)=0,"Enter element weight",IF(NOT(ISNUMBER(H132)),"Numeric weight needed",IF(LEN(D132)=0,"Enter quantity",IF(NOT(ISNUMBER(D132)),"Numeric quantity needed",IF(D132&lt;0,"Quantity below zero","Ready")))))))))))</f>
        <v/>
      </c>
    </row>
    <row r="133" spans="1:10" ht="40" customHeight="1">
      <c r="A133" s="1"/>
      <c r="B133" s="4"/>
      <c r="C133" s="4"/>
      <c r="D133" s="15"/>
      <c r="E133" s="10"/>
      <c r="F133" s="10"/>
      <c r="G133" s="11" t="str">
        <f>IF(LEN(C133)=0,"",IF(COUNTIFS(Elements!$B$9:$B$28,C133,Elements!$C$9:$C$28,"&lt;&gt;")=0,"",INDEX(Elements!$C$9:$C$28,MATCH(C133,Elements!$B$9:$B$28,0))))</f>
        <v/>
      </c>
      <c r="H133" s="8" t="str">
        <f>IF(LEN(C133)=0,"",IF(COUNTIFS(Elements!$B$9:$B$28,C133,Elements!$D$9:$D$28,"&lt;&gt;")=0,"",INDEX(Elements!$D$9:$D$28,MATCH(C133,Elements!$B$9:$B$28,0))))</f>
        <v/>
      </c>
      <c r="I133" s="8" t="str">
        <f t="shared" si="1"/>
        <v/>
      </c>
      <c r="J133" s="7" t="str">
        <f>IF(COUNTA(B133:F133)=0,"",IF(LEN(B133)=0,"Choose segment",IF(COUNTIF(Segments!$B$9:$B$38,B133)=0,"Unknown segment",IF(COUNTIFS(Segments!$B$9:$B$38,B133,Segments!$C$9:$C$38,"&lt;&gt;")=0,"Name segment",IF(LEN(C133)=0,"Choose element",IF(G133="","Name or correct element",IF(LEN(H133)=0,"Enter element weight",IF(NOT(ISNUMBER(H133)),"Numeric weight needed",IF(LEN(D133)=0,"Enter quantity",IF(NOT(ISNUMBER(D133)),"Numeric quantity needed",IF(D133&lt;0,"Quantity below zero","Ready")))))))))))</f>
        <v/>
      </c>
    </row>
    <row r="134" spans="1:10" ht="40" customHeight="1">
      <c r="A134" s="1"/>
      <c r="B134" s="4"/>
      <c r="C134" s="4"/>
      <c r="D134" s="15"/>
      <c r="E134" s="10"/>
      <c r="F134" s="10"/>
      <c r="G134" s="11" t="str">
        <f>IF(LEN(C134)=0,"",IF(COUNTIFS(Elements!$B$9:$B$28,C134,Elements!$C$9:$C$28,"&lt;&gt;")=0,"",INDEX(Elements!$C$9:$C$28,MATCH(C134,Elements!$B$9:$B$28,0))))</f>
        <v/>
      </c>
      <c r="H134" s="8" t="str">
        <f>IF(LEN(C134)=0,"",IF(COUNTIFS(Elements!$B$9:$B$28,C134,Elements!$D$9:$D$28,"&lt;&gt;")=0,"",INDEX(Elements!$D$9:$D$28,MATCH(C134,Elements!$B$9:$B$28,0))))</f>
        <v/>
      </c>
      <c r="I134" s="8" t="str">
        <f t="shared" si="1"/>
        <v/>
      </c>
      <c r="J134" s="7" t="str">
        <f>IF(COUNTA(B134:F134)=0,"",IF(LEN(B134)=0,"Choose segment",IF(COUNTIF(Segments!$B$9:$B$38,B134)=0,"Unknown segment",IF(COUNTIFS(Segments!$B$9:$B$38,B134,Segments!$C$9:$C$38,"&lt;&gt;")=0,"Name segment",IF(LEN(C134)=0,"Choose element",IF(G134="","Name or correct element",IF(LEN(H134)=0,"Enter element weight",IF(NOT(ISNUMBER(H134)),"Numeric weight needed",IF(LEN(D134)=0,"Enter quantity",IF(NOT(ISNUMBER(D134)),"Numeric quantity needed",IF(D134&lt;0,"Quantity below zero","Ready")))))))))))</f>
        <v/>
      </c>
    </row>
    <row r="135" spans="1:10" ht="40" customHeight="1">
      <c r="A135" s="1"/>
      <c r="B135" s="4"/>
      <c r="C135" s="4"/>
      <c r="D135" s="15"/>
      <c r="E135" s="10"/>
      <c r="F135" s="10"/>
      <c r="G135" s="11" t="str">
        <f>IF(LEN(C135)=0,"",IF(COUNTIFS(Elements!$B$9:$B$28,C135,Elements!$C$9:$C$28,"&lt;&gt;")=0,"",INDEX(Elements!$C$9:$C$28,MATCH(C135,Elements!$B$9:$B$28,0))))</f>
        <v/>
      </c>
      <c r="H135" s="8" t="str">
        <f>IF(LEN(C135)=0,"",IF(COUNTIFS(Elements!$B$9:$B$28,C135,Elements!$D$9:$D$28,"&lt;&gt;")=0,"",INDEX(Elements!$D$9:$D$28,MATCH(C135,Elements!$B$9:$B$28,0))))</f>
        <v/>
      </c>
      <c r="I135" s="8" t="str">
        <f t="shared" si="1"/>
        <v/>
      </c>
      <c r="J135" s="7" t="str">
        <f>IF(COUNTA(B135:F135)=0,"",IF(LEN(B135)=0,"Choose segment",IF(COUNTIF(Segments!$B$9:$B$38,B135)=0,"Unknown segment",IF(COUNTIFS(Segments!$B$9:$B$38,B135,Segments!$C$9:$C$38,"&lt;&gt;")=0,"Name segment",IF(LEN(C135)=0,"Choose element",IF(G135="","Name or correct element",IF(LEN(H135)=0,"Enter element weight",IF(NOT(ISNUMBER(H135)),"Numeric weight needed",IF(LEN(D135)=0,"Enter quantity",IF(NOT(ISNUMBER(D135)),"Numeric quantity needed",IF(D135&lt;0,"Quantity below zero","Ready")))))))))))</f>
        <v/>
      </c>
    </row>
    <row r="136" spans="1:10" ht="40" customHeight="1">
      <c r="A136" s="1"/>
      <c r="B136" s="4"/>
      <c r="C136" s="4"/>
      <c r="D136" s="15"/>
      <c r="E136" s="10"/>
      <c r="F136" s="10"/>
      <c r="G136" s="11" t="str">
        <f>IF(LEN(C136)=0,"",IF(COUNTIFS(Elements!$B$9:$B$28,C136,Elements!$C$9:$C$28,"&lt;&gt;")=0,"",INDEX(Elements!$C$9:$C$28,MATCH(C136,Elements!$B$9:$B$28,0))))</f>
        <v/>
      </c>
      <c r="H136" s="8" t="str">
        <f>IF(LEN(C136)=0,"",IF(COUNTIFS(Elements!$B$9:$B$28,C136,Elements!$D$9:$D$28,"&lt;&gt;")=0,"",INDEX(Elements!$D$9:$D$28,MATCH(C136,Elements!$B$9:$B$28,0))))</f>
        <v/>
      </c>
      <c r="I136" s="8" t="str">
        <f t="shared" si="1"/>
        <v/>
      </c>
      <c r="J136" s="7" t="str">
        <f>IF(COUNTA(B136:F136)=0,"",IF(LEN(B136)=0,"Choose segment",IF(COUNTIF(Segments!$B$9:$B$38,B136)=0,"Unknown segment",IF(COUNTIFS(Segments!$B$9:$B$38,B136,Segments!$C$9:$C$38,"&lt;&gt;")=0,"Name segment",IF(LEN(C136)=0,"Choose element",IF(G136="","Name or correct element",IF(LEN(H136)=0,"Enter element weight",IF(NOT(ISNUMBER(H136)),"Numeric weight needed",IF(LEN(D136)=0,"Enter quantity",IF(NOT(ISNUMBER(D136)),"Numeric quantity needed",IF(D136&lt;0,"Quantity below zero","Ready")))))))))))</f>
        <v/>
      </c>
    </row>
    <row r="137" spans="1:10" ht="40" customHeight="1">
      <c r="A137" s="1"/>
      <c r="B137" s="4"/>
      <c r="C137" s="4"/>
      <c r="D137" s="15"/>
      <c r="E137" s="10"/>
      <c r="F137" s="10"/>
      <c r="G137" s="11" t="str">
        <f>IF(LEN(C137)=0,"",IF(COUNTIFS(Elements!$B$9:$B$28,C137,Elements!$C$9:$C$28,"&lt;&gt;")=0,"",INDEX(Elements!$C$9:$C$28,MATCH(C137,Elements!$B$9:$B$28,0))))</f>
        <v/>
      </c>
      <c r="H137" s="8" t="str">
        <f>IF(LEN(C137)=0,"",IF(COUNTIFS(Elements!$B$9:$B$28,C137,Elements!$D$9:$D$28,"&lt;&gt;")=0,"",INDEX(Elements!$D$9:$D$28,MATCH(C137,Elements!$B$9:$B$28,0))))</f>
        <v/>
      </c>
      <c r="I137" s="8" t="str">
        <f t="shared" ref="I137:I200" si="2">IF(J137="Ready",D137*H137,"")</f>
        <v/>
      </c>
      <c r="J137" s="7" t="str">
        <f>IF(COUNTA(B137:F137)=0,"",IF(LEN(B137)=0,"Choose segment",IF(COUNTIF(Segments!$B$9:$B$38,B137)=0,"Unknown segment",IF(COUNTIFS(Segments!$B$9:$B$38,B137,Segments!$C$9:$C$38,"&lt;&gt;")=0,"Name segment",IF(LEN(C137)=0,"Choose element",IF(G137="","Name or correct element",IF(LEN(H137)=0,"Enter element weight",IF(NOT(ISNUMBER(H137)),"Numeric weight needed",IF(LEN(D137)=0,"Enter quantity",IF(NOT(ISNUMBER(D137)),"Numeric quantity needed",IF(D137&lt;0,"Quantity below zero","Ready")))))))))))</f>
        <v/>
      </c>
    </row>
    <row r="138" spans="1:10" ht="40" customHeight="1">
      <c r="A138" s="1"/>
      <c r="B138" s="4"/>
      <c r="C138" s="4"/>
      <c r="D138" s="15"/>
      <c r="E138" s="10"/>
      <c r="F138" s="10"/>
      <c r="G138" s="11" t="str">
        <f>IF(LEN(C138)=0,"",IF(COUNTIFS(Elements!$B$9:$B$28,C138,Elements!$C$9:$C$28,"&lt;&gt;")=0,"",INDEX(Elements!$C$9:$C$28,MATCH(C138,Elements!$B$9:$B$28,0))))</f>
        <v/>
      </c>
      <c r="H138" s="8" t="str">
        <f>IF(LEN(C138)=0,"",IF(COUNTIFS(Elements!$B$9:$B$28,C138,Elements!$D$9:$D$28,"&lt;&gt;")=0,"",INDEX(Elements!$D$9:$D$28,MATCH(C138,Elements!$B$9:$B$28,0))))</f>
        <v/>
      </c>
      <c r="I138" s="8" t="str">
        <f t="shared" si="2"/>
        <v/>
      </c>
      <c r="J138" s="7" t="str">
        <f>IF(COUNTA(B138:F138)=0,"",IF(LEN(B138)=0,"Choose segment",IF(COUNTIF(Segments!$B$9:$B$38,B138)=0,"Unknown segment",IF(COUNTIFS(Segments!$B$9:$B$38,B138,Segments!$C$9:$C$38,"&lt;&gt;")=0,"Name segment",IF(LEN(C138)=0,"Choose element",IF(G138="","Name or correct element",IF(LEN(H138)=0,"Enter element weight",IF(NOT(ISNUMBER(H138)),"Numeric weight needed",IF(LEN(D138)=0,"Enter quantity",IF(NOT(ISNUMBER(D138)),"Numeric quantity needed",IF(D138&lt;0,"Quantity below zero","Ready")))))))))))</f>
        <v/>
      </c>
    </row>
    <row r="139" spans="1:10" ht="40" customHeight="1">
      <c r="A139" s="1"/>
      <c r="B139" s="4"/>
      <c r="C139" s="4"/>
      <c r="D139" s="15"/>
      <c r="E139" s="10"/>
      <c r="F139" s="10"/>
      <c r="G139" s="11" t="str">
        <f>IF(LEN(C139)=0,"",IF(COUNTIFS(Elements!$B$9:$B$28,C139,Elements!$C$9:$C$28,"&lt;&gt;")=0,"",INDEX(Elements!$C$9:$C$28,MATCH(C139,Elements!$B$9:$B$28,0))))</f>
        <v/>
      </c>
      <c r="H139" s="8" t="str">
        <f>IF(LEN(C139)=0,"",IF(COUNTIFS(Elements!$B$9:$B$28,C139,Elements!$D$9:$D$28,"&lt;&gt;")=0,"",INDEX(Elements!$D$9:$D$28,MATCH(C139,Elements!$B$9:$B$28,0))))</f>
        <v/>
      </c>
      <c r="I139" s="8" t="str">
        <f t="shared" si="2"/>
        <v/>
      </c>
      <c r="J139" s="7" t="str">
        <f>IF(COUNTA(B139:F139)=0,"",IF(LEN(B139)=0,"Choose segment",IF(COUNTIF(Segments!$B$9:$B$38,B139)=0,"Unknown segment",IF(COUNTIFS(Segments!$B$9:$B$38,B139,Segments!$C$9:$C$38,"&lt;&gt;")=0,"Name segment",IF(LEN(C139)=0,"Choose element",IF(G139="","Name or correct element",IF(LEN(H139)=0,"Enter element weight",IF(NOT(ISNUMBER(H139)),"Numeric weight needed",IF(LEN(D139)=0,"Enter quantity",IF(NOT(ISNUMBER(D139)),"Numeric quantity needed",IF(D139&lt;0,"Quantity below zero","Ready")))))))))))</f>
        <v/>
      </c>
    </row>
    <row r="140" spans="1:10" ht="40" customHeight="1">
      <c r="A140" s="1"/>
      <c r="B140" s="4"/>
      <c r="C140" s="4"/>
      <c r="D140" s="15"/>
      <c r="E140" s="10"/>
      <c r="F140" s="10"/>
      <c r="G140" s="11" t="str">
        <f>IF(LEN(C140)=0,"",IF(COUNTIFS(Elements!$B$9:$B$28,C140,Elements!$C$9:$C$28,"&lt;&gt;")=0,"",INDEX(Elements!$C$9:$C$28,MATCH(C140,Elements!$B$9:$B$28,0))))</f>
        <v/>
      </c>
      <c r="H140" s="8" t="str">
        <f>IF(LEN(C140)=0,"",IF(COUNTIFS(Elements!$B$9:$B$28,C140,Elements!$D$9:$D$28,"&lt;&gt;")=0,"",INDEX(Elements!$D$9:$D$28,MATCH(C140,Elements!$B$9:$B$28,0))))</f>
        <v/>
      </c>
      <c r="I140" s="8" t="str">
        <f t="shared" si="2"/>
        <v/>
      </c>
      <c r="J140" s="7" t="str">
        <f>IF(COUNTA(B140:F140)=0,"",IF(LEN(B140)=0,"Choose segment",IF(COUNTIF(Segments!$B$9:$B$38,B140)=0,"Unknown segment",IF(COUNTIFS(Segments!$B$9:$B$38,B140,Segments!$C$9:$C$38,"&lt;&gt;")=0,"Name segment",IF(LEN(C140)=0,"Choose element",IF(G140="","Name or correct element",IF(LEN(H140)=0,"Enter element weight",IF(NOT(ISNUMBER(H140)),"Numeric weight needed",IF(LEN(D140)=0,"Enter quantity",IF(NOT(ISNUMBER(D140)),"Numeric quantity needed",IF(D140&lt;0,"Quantity below zero","Ready")))))))))))</f>
        <v/>
      </c>
    </row>
    <row r="141" spans="1:10" ht="40" customHeight="1">
      <c r="A141" s="1"/>
      <c r="B141" s="4"/>
      <c r="C141" s="4"/>
      <c r="D141" s="15"/>
      <c r="E141" s="10"/>
      <c r="F141" s="10"/>
      <c r="G141" s="11" t="str">
        <f>IF(LEN(C141)=0,"",IF(COUNTIFS(Elements!$B$9:$B$28,C141,Elements!$C$9:$C$28,"&lt;&gt;")=0,"",INDEX(Elements!$C$9:$C$28,MATCH(C141,Elements!$B$9:$B$28,0))))</f>
        <v/>
      </c>
      <c r="H141" s="8" t="str">
        <f>IF(LEN(C141)=0,"",IF(COUNTIFS(Elements!$B$9:$B$28,C141,Elements!$D$9:$D$28,"&lt;&gt;")=0,"",INDEX(Elements!$D$9:$D$28,MATCH(C141,Elements!$B$9:$B$28,0))))</f>
        <v/>
      </c>
      <c r="I141" s="8" t="str">
        <f t="shared" si="2"/>
        <v/>
      </c>
      <c r="J141" s="7" t="str">
        <f>IF(COUNTA(B141:F141)=0,"",IF(LEN(B141)=0,"Choose segment",IF(COUNTIF(Segments!$B$9:$B$38,B141)=0,"Unknown segment",IF(COUNTIFS(Segments!$B$9:$B$38,B141,Segments!$C$9:$C$38,"&lt;&gt;")=0,"Name segment",IF(LEN(C141)=0,"Choose element",IF(G141="","Name or correct element",IF(LEN(H141)=0,"Enter element weight",IF(NOT(ISNUMBER(H141)),"Numeric weight needed",IF(LEN(D141)=0,"Enter quantity",IF(NOT(ISNUMBER(D141)),"Numeric quantity needed",IF(D141&lt;0,"Quantity below zero","Ready")))))))))))</f>
        <v/>
      </c>
    </row>
    <row r="142" spans="1:10" ht="40" customHeight="1">
      <c r="A142" s="1"/>
      <c r="B142" s="4"/>
      <c r="C142" s="4"/>
      <c r="D142" s="15"/>
      <c r="E142" s="10"/>
      <c r="F142" s="10"/>
      <c r="G142" s="11" t="str">
        <f>IF(LEN(C142)=0,"",IF(COUNTIFS(Elements!$B$9:$B$28,C142,Elements!$C$9:$C$28,"&lt;&gt;")=0,"",INDEX(Elements!$C$9:$C$28,MATCH(C142,Elements!$B$9:$B$28,0))))</f>
        <v/>
      </c>
      <c r="H142" s="8" t="str">
        <f>IF(LEN(C142)=0,"",IF(COUNTIFS(Elements!$B$9:$B$28,C142,Elements!$D$9:$D$28,"&lt;&gt;")=0,"",INDEX(Elements!$D$9:$D$28,MATCH(C142,Elements!$B$9:$B$28,0))))</f>
        <v/>
      </c>
      <c r="I142" s="8" t="str">
        <f t="shared" si="2"/>
        <v/>
      </c>
      <c r="J142" s="7" t="str">
        <f>IF(COUNTA(B142:F142)=0,"",IF(LEN(B142)=0,"Choose segment",IF(COUNTIF(Segments!$B$9:$B$38,B142)=0,"Unknown segment",IF(COUNTIFS(Segments!$B$9:$B$38,B142,Segments!$C$9:$C$38,"&lt;&gt;")=0,"Name segment",IF(LEN(C142)=0,"Choose element",IF(G142="","Name or correct element",IF(LEN(H142)=0,"Enter element weight",IF(NOT(ISNUMBER(H142)),"Numeric weight needed",IF(LEN(D142)=0,"Enter quantity",IF(NOT(ISNUMBER(D142)),"Numeric quantity needed",IF(D142&lt;0,"Quantity below zero","Ready")))))))))))</f>
        <v/>
      </c>
    </row>
    <row r="143" spans="1:10" ht="40" customHeight="1">
      <c r="A143" s="1"/>
      <c r="B143" s="4"/>
      <c r="C143" s="4"/>
      <c r="D143" s="15"/>
      <c r="E143" s="10"/>
      <c r="F143" s="10"/>
      <c r="G143" s="11" t="str">
        <f>IF(LEN(C143)=0,"",IF(COUNTIFS(Elements!$B$9:$B$28,C143,Elements!$C$9:$C$28,"&lt;&gt;")=0,"",INDEX(Elements!$C$9:$C$28,MATCH(C143,Elements!$B$9:$B$28,0))))</f>
        <v/>
      </c>
      <c r="H143" s="8" t="str">
        <f>IF(LEN(C143)=0,"",IF(COUNTIFS(Elements!$B$9:$B$28,C143,Elements!$D$9:$D$28,"&lt;&gt;")=0,"",INDEX(Elements!$D$9:$D$28,MATCH(C143,Elements!$B$9:$B$28,0))))</f>
        <v/>
      </c>
      <c r="I143" s="8" t="str">
        <f t="shared" si="2"/>
        <v/>
      </c>
      <c r="J143" s="7" t="str">
        <f>IF(COUNTA(B143:F143)=0,"",IF(LEN(B143)=0,"Choose segment",IF(COUNTIF(Segments!$B$9:$B$38,B143)=0,"Unknown segment",IF(COUNTIFS(Segments!$B$9:$B$38,B143,Segments!$C$9:$C$38,"&lt;&gt;")=0,"Name segment",IF(LEN(C143)=0,"Choose element",IF(G143="","Name or correct element",IF(LEN(H143)=0,"Enter element weight",IF(NOT(ISNUMBER(H143)),"Numeric weight needed",IF(LEN(D143)=0,"Enter quantity",IF(NOT(ISNUMBER(D143)),"Numeric quantity needed",IF(D143&lt;0,"Quantity below zero","Ready")))))))))))</f>
        <v/>
      </c>
    </row>
    <row r="144" spans="1:10" ht="40" customHeight="1">
      <c r="A144" s="1"/>
      <c r="B144" s="4"/>
      <c r="C144" s="4"/>
      <c r="D144" s="15"/>
      <c r="E144" s="10"/>
      <c r="F144" s="10"/>
      <c r="G144" s="11" t="str">
        <f>IF(LEN(C144)=0,"",IF(COUNTIFS(Elements!$B$9:$B$28,C144,Elements!$C$9:$C$28,"&lt;&gt;")=0,"",INDEX(Elements!$C$9:$C$28,MATCH(C144,Elements!$B$9:$B$28,0))))</f>
        <v/>
      </c>
      <c r="H144" s="8" t="str">
        <f>IF(LEN(C144)=0,"",IF(COUNTIFS(Elements!$B$9:$B$28,C144,Elements!$D$9:$D$28,"&lt;&gt;")=0,"",INDEX(Elements!$D$9:$D$28,MATCH(C144,Elements!$B$9:$B$28,0))))</f>
        <v/>
      </c>
      <c r="I144" s="8" t="str">
        <f t="shared" si="2"/>
        <v/>
      </c>
      <c r="J144" s="7" t="str">
        <f>IF(COUNTA(B144:F144)=0,"",IF(LEN(B144)=0,"Choose segment",IF(COUNTIF(Segments!$B$9:$B$38,B144)=0,"Unknown segment",IF(COUNTIFS(Segments!$B$9:$B$38,B144,Segments!$C$9:$C$38,"&lt;&gt;")=0,"Name segment",IF(LEN(C144)=0,"Choose element",IF(G144="","Name or correct element",IF(LEN(H144)=0,"Enter element weight",IF(NOT(ISNUMBER(H144)),"Numeric weight needed",IF(LEN(D144)=0,"Enter quantity",IF(NOT(ISNUMBER(D144)),"Numeric quantity needed",IF(D144&lt;0,"Quantity below zero","Ready")))))))))))</f>
        <v/>
      </c>
    </row>
    <row r="145" spans="1:10" ht="40" customHeight="1">
      <c r="A145" s="1"/>
      <c r="B145" s="4"/>
      <c r="C145" s="4"/>
      <c r="D145" s="15"/>
      <c r="E145" s="10"/>
      <c r="F145" s="10"/>
      <c r="G145" s="11" t="str">
        <f>IF(LEN(C145)=0,"",IF(COUNTIFS(Elements!$B$9:$B$28,C145,Elements!$C$9:$C$28,"&lt;&gt;")=0,"",INDEX(Elements!$C$9:$C$28,MATCH(C145,Elements!$B$9:$B$28,0))))</f>
        <v/>
      </c>
      <c r="H145" s="8" t="str">
        <f>IF(LEN(C145)=0,"",IF(COUNTIFS(Elements!$B$9:$B$28,C145,Elements!$D$9:$D$28,"&lt;&gt;")=0,"",INDEX(Elements!$D$9:$D$28,MATCH(C145,Elements!$B$9:$B$28,0))))</f>
        <v/>
      </c>
      <c r="I145" s="8" t="str">
        <f t="shared" si="2"/>
        <v/>
      </c>
      <c r="J145" s="7" t="str">
        <f>IF(COUNTA(B145:F145)=0,"",IF(LEN(B145)=0,"Choose segment",IF(COUNTIF(Segments!$B$9:$B$38,B145)=0,"Unknown segment",IF(COUNTIFS(Segments!$B$9:$B$38,B145,Segments!$C$9:$C$38,"&lt;&gt;")=0,"Name segment",IF(LEN(C145)=0,"Choose element",IF(G145="","Name or correct element",IF(LEN(H145)=0,"Enter element weight",IF(NOT(ISNUMBER(H145)),"Numeric weight needed",IF(LEN(D145)=0,"Enter quantity",IF(NOT(ISNUMBER(D145)),"Numeric quantity needed",IF(D145&lt;0,"Quantity below zero","Ready")))))))))))</f>
        <v/>
      </c>
    </row>
    <row r="146" spans="1:10" ht="40" customHeight="1">
      <c r="A146" s="1"/>
      <c r="B146" s="4"/>
      <c r="C146" s="4"/>
      <c r="D146" s="15"/>
      <c r="E146" s="10"/>
      <c r="F146" s="10"/>
      <c r="G146" s="11" t="str">
        <f>IF(LEN(C146)=0,"",IF(COUNTIFS(Elements!$B$9:$B$28,C146,Elements!$C$9:$C$28,"&lt;&gt;")=0,"",INDEX(Elements!$C$9:$C$28,MATCH(C146,Elements!$B$9:$B$28,0))))</f>
        <v/>
      </c>
      <c r="H146" s="8" t="str">
        <f>IF(LEN(C146)=0,"",IF(COUNTIFS(Elements!$B$9:$B$28,C146,Elements!$D$9:$D$28,"&lt;&gt;")=0,"",INDEX(Elements!$D$9:$D$28,MATCH(C146,Elements!$B$9:$B$28,0))))</f>
        <v/>
      </c>
      <c r="I146" s="8" t="str">
        <f t="shared" si="2"/>
        <v/>
      </c>
      <c r="J146" s="7" t="str">
        <f>IF(COUNTA(B146:F146)=0,"",IF(LEN(B146)=0,"Choose segment",IF(COUNTIF(Segments!$B$9:$B$38,B146)=0,"Unknown segment",IF(COUNTIFS(Segments!$B$9:$B$38,B146,Segments!$C$9:$C$38,"&lt;&gt;")=0,"Name segment",IF(LEN(C146)=0,"Choose element",IF(G146="","Name or correct element",IF(LEN(H146)=0,"Enter element weight",IF(NOT(ISNUMBER(H146)),"Numeric weight needed",IF(LEN(D146)=0,"Enter quantity",IF(NOT(ISNUMBER(D146)),"Numeric quantity needed",IF(D146&lt;0,"Quantity below zero","Ready")))))))))))</f>
        <v/>
      </c>
    </row>
    <row r="147" spans="1:10" ht="40" customHeight="1">
      <c r="A147" s="1"/>
      <c r="B147" s="4"/>
      <c r="C147" s="4"/>
      <c r="D147" s="15"/>
      <c r="E147" s="10"/>
      <c r="F147" s="10"/>
      <c r="G147" s="11" t="str">
        <f>IF(LEN(C147)=0,"",IF(COUNTIFS(Elements!$B$9:$B$28,C147,Elements!$C$9:$C$28,"&lt;&gt;")=0,"",INDEX(Elements!$C$9:$C$28,MATCH(C147,Elements!$B$9:$B$28,0))))</f>
        <v/>
      </c>
      <c r="H147" s="8" t="str">
        <f>IF(LEN(C147)=0,"",IF(COUNTIFS(Elements!$B$9:$B$28,C147,Elements!$D$9:$D$28,"&lt;&gt;")=0,"",INDEX(Elements!$D$9:$D$28,MATCH(C147,Elements!$B$9:$B$28,0))))</f>
        <v/>
      </c>
      <c r="I147" s="8" t="str">
        <f t="shared" si="2"/>
        <v/>
      </c>
      <c r="J147" s="7" t="str">
        <f>IF(COUNTA(B147:F147)=0,"",IF(LEN(B147)=0,"Choose segment",IF(COUNTIF(Segments!$B$9:$B$38,B147)=0,"Unknown segment",IF(COUNTIFS(Segments!$B$9:$B$38,B147,Segments!$C$9:$C$38,"&lt;&gt;")=0,"Name segment",IF(LEN(C147)=0,"Choose element",IF(G147="","Name or correct element",IF(LEN(H147)=0,"Enter element weight",IF(NOT(ISNUMBER(H147)),"Numeric weight needed",IF(LEN(D147)=0,"Enter quantity",IF(NOT(ISNUMBER(D147)),"Numeric quantity needed",IF(D147&lt;0,"Quantity below zero","Ready")))))))))))</f>
        <v/>
      </c>
    </row>
    <row r="148" spans="1:10" ht="40" customHeight="1">
      <c r="A148" s="1"/>
      <c r="B148" s="4"/>
      <c r="C148" s="4"/>
      <c r="D148" s="15"/>
      <c r="E148" s="10"/>
      <c r="F148" s="10"/>
      <c r="G148" s="11" t="str">
        <f>IF(LEN(C148)=0,"",IF(COUNTIFS(Elements!$B$9:$B$28,C148,Elements!$C$9:$C$28,"&lt;&gt;")=0,"",INDEX(Elements!$C$9:$C$28,MATCH(C148,Elements!$B$9:$B$28,0))))</f>
        <v/>
      </c>
      <c r="H148" s="8" t="str">
        <f>IF(LEN(C148)=0,"",IF(COUNTIFS(Elements!$B$9:$B$28,C148,Elements!$D$9:$D$28,"&lt;&gt;")=0,"",INDEX(Elements!$D$9:$D$28,MATCH(C148,Elements!$B$9:$B$28,0))))</f>
        <v/>
      </c>
      <c r="I148" s="8" t="str">
        <f t="shared" si="2"/>
        <v/>
      </c>
      <c r="J148" s="7" t="str">
        <f>IF(COUNTA(B148:F148)=0,"",IF(LEN(B148)=0,"Choose segment",IF(COUNTIF(Segments!$B$9:$B$38,B148)=0,"Unknown segment",IF(COUNTIFS(Segments!$B$9:$B$38,B148,Segments!$C$9:$C$38,"&lt;&gt;")=0,"Name segment",IF(LEN(C148)=0,"Choose element",IF(G148="","Name or correct element",IF(LEN(H148)=0,"Enter element weight",IF(NOT(ISNUMBER(H148)),"Numeric weight needed",IF(LEN(D148)=0,"Enter quantity",IF(NOT(ISNUMBER(D148)),"Numeric quantity needed",IF(D148&lt;0,"Quantity below zero","Ready")))))))))))</f>
        <v/>
      </c>
    </row>
    <row r="149" spans="1:10" ht="40" customHeight="1">
      <c r="A149" s="1"/>
      <c r="B149" s="4"/>
      <c r="C149" s="4"/>
      <c r="D149" s="15"/>
      <c r="E149" s="10"/>
      <c r="F149" s="10"/>
      <c r="G149" s="11" t="str">
        <f>IF(LEN(C149)=0,"",IF(COUNTIFS(Elements!$B$9:$B$28,C149,Elements!$C$9:$C$28,"&lt;&gt;")=0,"",INDEX(Elements!$C$9:$C$28,MATCH(C149,Elements!$B$9:$B$28,0))))</f>
        <v/>
      </c>
      <c r="H149" s="8" t="str">
        <f>IF(LEN(C149)=0,"",IF(COUNTIFS(Elements!$B$9:$B$28,C149,Elements!$D$9:$D$28,"&lt;&gt;")=0,"",INDEX(Elements!$D$9:$D$28,MATCH(C149,Elements!$B$9:$B$28,0))))</f>
        <v/>
      </c>
      <c r="I149" s="8" t="str">
        <f t="shared" si="2"/>
        <v/>
      </c>
      <c r="J149" s="7" t="str">
        <f>IF(COUNTA(B149:F149)=0,"",IF(LEN(B149)=0,"Choose segment",IF(COUNTIF(Segments!$B$9:$B$38,B149)=0,"Unknown segment",IF(COUNTIFS(Segments!$B$9:$B$38,B149,Segments!$C$9:$C$38,"&lt;&gt;")=0,"Name segment",IF(LEN(C149)=0,"Choose element",IF(G149="","Name or correct element",IF(LEN(H149)=0,"Enter element weight",IF(NOT(ISNUMBER(H149)),"Numeric weight needed",IF(LEN(D149)=0,"Enter quantity",IF(NOT(ISNUMBER(D149)),"Numeric quantity needed",IF(D149&lt;0,"Quantity below zero","Ready")))))))))))</f>
        <v/>
      </c>
    </row>
    <row r="150" spans="1:10" ht="40" customHeight="1">
      <c r="A150" s="1"/>
      <c r="B150" s="4"/>
      <c r="C150" s="4"/>
      <c r="D150" s="15"/>
      <c r="E150" s="10"/>
      <c r="F150" s="10"/>
      <c r="G150" s="11" t="str">
        <f>IF(LEN(C150)=0,"",IF(COUNTIFS(Elements!$B$9:$B$28,C150,Elements!$C$9:$C$28,"&lt;&gt;")=0,"",INDEX(Elements!$C$9:$C$28,MATCH(C150,Elements!$B$9:$B$28,0))))</f>
        <v/>
      </c>
      <c r="H150" s="8" t="str">
        <f>IF(LEN(C150)=0,"",IF(COUNTIFS(Elements!$B$9:$B$28,C150,Elements!$D$9:$D$28,"&lt;&gt;")=0,"",INDEX(Elements!$D$9:$D$28,MATCH(C150,Elements!$B$9:$B$28,0))))</f>
        <v/>
      </c>
      <c r="I150" s="8" t="str">
        <f t="shared" si="2"/>
        <v/>
      </c>
      <c r="J150" s="7" t="str">
        <f>IF(COUNTA(B150:F150)=0,"",IF(LEN(B150)=0,"Choose segment",IF(COUNTIF(Segments!$B$9:$B$38,B150)=0,"Unknown segment",IF(COUNTIFS(Segments!$B$9:$B$38,B150,Segments!$C$9:$C$38,"&lt;&gt;")=0,"Name segment",IF(LEN(C150)=0,"Choose element",IF(G150="","Name or correct element",IF(LEN(H150)=0,"Enter element weight",IF(NOT(ISNUMBER(H150)),"Numeric weight needed",IF(LEN(D150)=0,"Enter quantity",IF(NOT(ISNUMBER(D150)),"Numeric quantity needed",IF(D150&lt;0,"Quantity below zero","Ready")))))))))))</f>
        <v/>
      </c>
    </row>
    <row r="151" spans="1:10" ht="40" customHeight="1">
      <c r="A151" s="1"/>
      <c r="B151" s="4"/>
      <c r="C151" s="4"/>
      <c r="D151" s="15"/>
      <c r="E151" s="10"/>
      <c r="F151" s="10"/>
      <c r="G151" s="11" t="str">
        <f>IF(LEN(C151)=0,"",IF(COUNTIFS(Elements!$B$9:$B$28,C151,Elements!$C$9:$C$28,"&lt;&gt;")=0,"",INDEX(Elements!$C$9:$C$28,MATCH(C151,Elements!$B$9:$B$28,0))))</f>
        <v/>
      </c>
      <c r="H151" s="8" t="str">
        <f>IF(LEN(C151)=0,"",IF(COUNTIFS(Elements!$B$9:$B$28,C151,Elements!$D$9:$D$28,"&lt;&gt;")=0,"",INDEX(Elements!$D$9:$D$28,MATCH(C151,Elements!$B$9:$B$28,0))))</f>
        <v/>
      </c>
      <c r="I151" s="8" t="str">
        <f t="shared" si="2"/>
        <v/>
      </c>
      <c r="J151" s="7" t="str">
        <f>IF(COUNTA(B151:F151)=0,"",IF(LEN(B151)=0,"Choose segment",IF(COUNTIF(Segments!$B$9:$B$38,B151)=0,"Unknown segment",IF(COUNTIFS(Segments!$B$9:$B$38,B151,Segments!$C$9:$C$38,"&lt;&gt;")=0,"Name segment",IF(LEN(C151)=0,"Choose element",IF(G151="","Name or correct element",IF(LEN(H151)=0,"Enter element weight",IF(NOT(ISNUMBER(H151)),"Numeric weight needed",IF(LEN(D151)=0,"Enter quantity",IF(NOT(ISNUMBER(D151)),"Numeric quantity needed",IF(D151&lt;0,"Quantity below zero","Ready")))))))))))</f>
        <v/>
      </c>
    </row>
    <row r="152" spans="1:10" ht="40" customHeight="1">
      <c r="A152" s="1"/>
      <c r="B152" s="4"/>
      <c r="C152" s="4"/>
      <c r="D152" s="15"/>
      <c r="E152" s="10"/>
      <c r="F152" s="10"/>
      <c r="G152" s="11" t="str">
        <f>IF(LEN(C152)=0,"",IF(COUNTIFS(Elements!$B$9:$B$28,C152,Elements!$C$9:$C$28,"&lt;&gt;")=0,"",INDEX(Elements!$C$9:$C$28,MATCH(C152,Elements!$B$9:$B$28,0))))</f>
        <v/>
      </c>
      <c r="H152" s="8" t="str">
        <f>IF(LEN(C152)=0,"",IF(COUNTIFS(Elements!$B$9:$B$28,C152,Elements!$D$9:$D$28,"&lt;&gt;")=0,"",INDEX(Elements!$D$9:$D$28,MATCH(C152,Elements!$B$9:$B$28,0))))</f>
        <v/>
      </c>
      <c r="I152" s="8" t="str">
        <f t="shared" si="2"/>
        <v/>
      </c>
      <c r="J152" s="7" t="str">
        <f>IF(COUNTA(B152:F152)=0,"",IF(LEN(B152)=0,"Choose segment",IF(COUNTIF(Segments!$B$9:$B$38,B152)=0,"Unknown segment",IF(COUNTIFS(Segments!$B$9:$B$38,B152,Segments!$C$9:$C$38,"&lt;&gt;")=0,"Name segment",IF(LEN(C152)=0,"Choose element",IF(G152="","Name or correct element",IF(LEN(H152)=0,"Enter element weight",IF(NOT(ISNUMBER(H152)),"Numeric weight needed",IF(LEN(D152)=0,"Enter quantity",IF(NOT(ISNUMBER(D152)),"Numeric quantity needed",IF(D152&lt;0,"Quantity below zero","Ready")))))))))))</f>
        <v/>
      </c>
    </row>
    <row r="153" spans="1:10" ht="40" customHeight="1">
      <c r="A153" s="1"/>
      <c r="B153" s="4"/>
      <c r="C153" s="4"/>
      <c r="D153" s="15"/>
      <c r="E153" s="10"/>
      <c r="F153" s="10"/>
      <c r="G153" s="11" t="str">
        <f>IF(LEN(C153)=0,"",IF(COUNTIFS(Elements!$B$9:$B$28,C153,Elements!$C$9:$C$28,"&lt;&gt;")=0,"",INDEX(Elements!$C$9:$C$28,MATCH(C153,Elements!$B$9:$B$28,0))))</f>
        <v/>
      </c>
      <c r="H153" s="8" t="str">
        <f>IF(LEN(C153)=0,"",IF(COUNTIFS(Elements!$B$9:$B$28,C153,Elements!$D$9:$D$28,"&lt;&gt;")=0,"",INDEX(Elements!$D$9:$D$28,MATCH(C153,Elements!$B$9:$B$28,0))))</f>
        <v/>
      </c>
      <c r="I153" s="8" t="str">
        <f t="shared" si="2"/>
        <v/>
      </c>
      <c r="J153" s="7" t="str">
        <f>IF(COUNTA(B153:F153)=0,"",IF(LEN(B153)=0,"Choose segment",IF(COUNTIF(Segments!$B$9:$B$38,B153)=0,"Unknown segment",IF(COUNTIFS(Segments!$B$9:$B$38,B153,Segments!$C$9:$C$38,"&lt;&gt;")=0,"Name segment",IF(LEN(C153)=0,"Choose element",IF(G153="","Name or correct element",IF(LEN(H153)=0,"Enter element weight",IF(NOT(ISNUMBER(H153)),"Numeric weight needed",IF(LEN(D153)=0,"Enter quantity",IF(NOT(ISNUMBER(D153)),"Numeric quantity needed",IF(D153&lt;0,"Quantity below zero","Ready")))))))))))</f>
        <v/>
      </c>
    </row>
    <row r="154" spans="1:10" ht="40" customHeight="1">
      <c r="A154" s="1"/>
      <c r="B154" s="4"/>
      <c r="C154" s="4"/>
      <c r="D154" s="15"/>
      <c r="E154" s="10"/>
      <c r="F154" s="10"/>
      <c r="G154" s="11" t="str">
        <f>IF(LEN(C154)=0,"",IF(COUNTIFS(Elements!$B$9:$B$28,C154,Elements!$C$9:$C$28,"&lt;&gt;")=0,"",INDEX(Elements!$C$9:$C$28,MATCH(C154,Elements!$B$9:$B$28,0))))</f>
        <v/>
      </c>
      <c r="H154" s="8" t="str">
        <f>IF(LEN(C154)=0,"",IF(COUNTIFS(Elements!$B$9:$B$28,C154,Elements!$D$9:$D$28,"&lt;&gt;")=0,"",INDEX(Elements!$D$9:$D$28,MATCH(C154,Elements!$B$9:$B$28,0))))</f>
        <v/>
      </c>
      <c r="I154" s="8" t="str">
        <f t="shared" si="2"/>
        <v/>
      </c>
      <c r="J154" s="7" t="str">
        <f>IF(COUNTA(B154:F154)=0,"",IF(LEN(B154)=0,"Choose segment",IF(COUNTIF(Segments!$B$9:$B$38,B154)=0,"Unknown segment",IF(COUNTIFS(Segments!$B$9:$B$38,B154,Segments!$C$9:$C$38,"&lt;&gt;")=0,"Name segment",IF(LEN(C154)=0,"Choose element",IF(G154="","Name or correct element",IF(LEN(H154)=0,"Enter element weight",IF(NOT(ISNUMBER(H154)),"Numeric weight needed",IF(LEN(D154)=0,"Enter quantity",IF(NOT(ISNUMBER(D154)),"Numeric quantity needed",IF(D154&lt;0,"Quantity below zero","Ready")))))))))))</f>
        <v/>
      </c>
    </row>
    <row r="155" spans="1:10" ht="40" customHeight="1">
      <c r="A155" s="1"/>
      <c r="B155" s="4"/>
      <c r="C155" s="4"/>
      <c r="D155" s="15"/>
      <c r="E155" s="10"/>
      <c r="F155" s="10"/>
      <c r="G155" s="11" t="str">
        <f>IF(LEN(C155)=0,"",IF(COUNTIFS(Elements!$B$9:$B$28,C155,Elements!$C$9:$C$28,"&lt;&gt;")=0,"",INDEX(Elements!$C$9:$C$28,MATCH(C155,Elements!$B$9:$B$28,0))))</f>
        <v/>
      </c>
      <c r="H155" s="8" t="str">
        <f>IF(LEN(C155)=0,"",IF(COUNTIFS(Elements!$B$9:$B$28,C155,Elements!$D$9:$D$28,"&lt;&gt;")=0,"",INDEX(Elements!$D$9:$D$28,MATCH(C155,Elements!$B$9:$B$28,0))))</f>
        <v/>
      </c>
      <c r="I155" s="8" t="str">
        <f t="shared" si="2"/>
        <v/>
      </c>
      <c r="J155" s="7" t="str">
        <f>IF(COUNTA(B155:F155)=0,"",IF(LEN(B155)=0,"Choose segment",IF(COUNTIF(Segments!$B$9:$B$38,B155)=0,"Unknown segment",IF(COUNTIFS(Segments!$B$9:$B$38,B155,Segments!$C$9:$C$38,"&lt;&gt;")=0,"Name segment",IF(LEN(C155)=0,"Choose element",IF(G155="","Name or correct element",IF(LEN(H155)=0,"Enter element weight",IF(NOT(ISNUMBER(H155)),"Numeric weight needed",IF(LEN(D155)=0,"Enter quantity",IF(NOT(ISNUMBER(D155)),"Numeric quantity needed",IF(D155&lt;0,"Quantity below zero","Ready")))))))))))</f>
        <v/>
      </c>
    </row>
    <row r="156" spans="1:10" ht="40" customHeight="1">
      <c r="A156" s="1"/>
      <c r="B156" s="4"/>
      <c r="C156" s="4"/>
      <c r="D156" s="15"/>
      <c r="E156" s="10"/>
      <c r="F156" s="10"/>
      <c r="G156" s="11" t="str">
        <f>IF(LEN(C156)=0,"",IF(COUNTIFS(Elements!$B$9:$B$28,C156,Elements!$C$9:$C$28,"&lt;&gt;")=0,"",INDEX(Elements!$C$9:$C$28,MATCH(C156,Elements!$B$9:$B$28,0))))</f>
        <v/>
      </c>
      <c r="H156" s="8" t="str">
        <f>IF(LEN(C156)=0,"",IF(COUNTIFS(Elements!$B$9:$B$28,C156,Elements!$D$9:$D$28,"&lt;&gt;")=0,"",INDEX(Elements!$D$9:$D$28,MATCH(C156,Elements!$B$9:$B$28,0))))</f>
        <v/>
      </c>
      <c r="I156" s="8" t="str">
        <f t="shared" si="2"/>
        <v/>
      </c>
      <c r="J156" s="7" t="str">
        <f>IF(COUNTA(B156:F156)=0,"",IF(LEN(B156)=0,"Choose segment",IF(COUNTIF(Segments!$B$9:$B$38,B156)=0,"Unknown segment",IF(COUNTIFS(Segments!$B$9:$B$38,B156,Segments!$C$9:$C$38,"&lt;&gt;")=0,"Name segment",IF(LEN(C156)=0,"Choose element",IF(G156="","Name or correct element",IF(LEN(H156)=0,"Enter element weight",IF(NOT(ISNUMBER(H156)),"Numeric weight needed",IF(LEN(D156)=0,"Enter quantity",IF(NOT(ISNUMBER(D156)),"Numeric quantity needed",IF(D156&lt;0,"Quantity below zero","Ready")))))))))))</f>
        <v/>
      </c>
    </row>
    <row r="157" spans="1:10" ht="40" customHeight="1">
      <c r="A157" s="1"/>
      <c r="B157" s="4"/>
      <c r="C157" s="4"/>
      <c r="D157" s="15"/>
      <c r="E157" s="10"/>
      <c r="F157" s="10"/>
      <c r="G157" s="11" t="str">
        <f>IF(LEN(C157)=0,"",IF(COUNTIFS(Elements!$B$9:$B$28,C157,Elements!$C$9:$C$28,"&lt;&gt;")=0,"",INDEX(Elements!$C$9:$C$28,MATCH(C157,Elements!$B$9:$B$28,0))))</f>
        <v/>
      </c>
      <c r="H157" s="8" t="str">
        <f>IF(LEN(C157)=0,"",IF(COUNTIFS(Elements!$B$9:$B$28,C157,Elements!$D$9:$D$28,"&lt;&gt;")=0,"",INDEX(Elements!$D$9:$D$28,MATCH(C157,Elements!$B$9:$B$28,0))))</f>
        <v/>
      </c>
      <c r="I157" s="8" t="str">
        <f t="shared" si="2"/>
        <v/>
      </c>
      <c r="J157" s="7" t="str">
        <f>IF(COUNTA(B157:F157)=0,"",IF(LEN(B157)=0,"Choose segment",IF(COUNTIF(Segments!$B$9:$B$38,B157)=0,"Unknown segment",IF(COUNTIFS(Segments!$B$9:$B$38,B157,Segments!$C$9:$C$38,"&lt;&gt;")=0,"Name segment",IF(LEN(C157)=0,"Choose element",IF(G157="","Name or correct element",IF(LEN(H157)=0,"Enter element weight",IF(NOT(ISNUMBER(H157)),"Numeric weight needed",IF(LEN(D157)=0,"Enter quantity",IF(NOT(ISNUMBER(D157)),"Numeric quantity needed",IF(D157&lt;0,"Quantity below zero","Ready")))))))))))</f>
        <v/>
      </c>
    </row>
    <row r="158" spans="1:10" ht="40" customHeight="1">
      <c r="A158" s="1"/>
      <c r="B158" s="4"/>
      <c r="C158" s="4"/>
      <c r="D158" s="15"/>
      <c r="E158" s="10"/>
      <c r="F158" s="10"/>
      <c r="G158" s="11" t="str">
        <f>IF(LEN(C158)=0,"",IF(COUNTIFS(Elements!$B$9:$B$28,C158,Elements!$C$9:$C$28,"&lt;&gt;")=0,"",INDEX(Elements!$C$9:$C$28,MATCH(C158,Elements!$B$9:$B$28,0))))</f>
        <v/>
      </c>
      <c r="H158" s="8" t="str">
        <f>IF(LEN(C158)=0,"",IF(COUNTIFS(Elements!$B$9:$B$28,C158,Elements!$D$9:$D$28,"&lt;&gt;")=0,"",INDEX(Elements!$D$9:$D$28,MATCH(C158,Elements!$B$9:$B$28,0))))</f>
        <v/>
      </c>
      <c r="I158" s="8" t="str">
        <f t="shared" si="2"/>
        <v/>
      </c>
      <c r="J158" s="7" t="str">
        <f>IF(COUNTA(B158:F158)=0,"",IF(LEN(B158)=0,"Choose segment",IF(COUNTIF(Segments!$B$9:$B$38,B158)=0,"Unknown segment",IF(COUNTIFS(Segments!$B$9:$B$38,B158,Segments!$C$9:$C$38,"&lt;&gt;")=0,"Name segment",IF(LEN(C158)=0,"Choose element",IF(G158="","Name or correct element",IF(LEN(H158)=0,"Enter element weight",IF(NOT(ISNUMBER(H158)),"Numeric weight needed",IF(LEN(D158)=0,"Enter quantity",IF(NOT(ISNUMBER(D158)),"Numeric quantity needed",IF(D158&lt;0,"Quantity below zero","Ready")))))))))))</f>
        <v/>
      </c>
    </row>
    <row r="159" spans="1:10" ht="40" customHeight="1">
      <c r="A159" s="1"/>
      <c r="B159" s="4"/>
      <c r="C159" s="4"/>
      <c r="D159" s="15"/>
      <c r="E159" s="10"/>
      <c r="F159" s="10"/>
      <c r="G159" s="11" t="str">
        <f>IF(LEN(C159)=0,"",IF(COUNTIFS(Elements!$B$9:$B$28,C159,Elements!$C$9:$C$28,"&lt;&gt;")=0,"",INDEX(Elements!$C$9:$C$28,MATCH(C159,Elements!$B$9:$B$28,0))))</f>
        <v/>
      </c>
      <c r="H159" s="8" t="str">
        <f>IF(LEN(C159)=0,"",IF(COUNTIFS(Elements!$B$9:$B$28,C159,Elements!$D$9:$D$28,"&lt;&gt;")=0,"",INDEX(Elements!$D$9:$D$28,MATCH(C159,Elements!$B$9:$B$28,0))))</f>
        <v/>
      </c>
      <c r="I159" s="8" t="str">
        <f t="shared" si="2"/>
        <v/>
      </c>
      <c r="J159" s="7" t="str">
        <f>IF(COUNTA(B159:F159)=0,"",IF(LEN(B159)=0,"Choose segment",IF(COUNTIF(Segments!$B$9:$B$38,B159)=0,"Unknown segment",IF(COUNTIFS(Segments!$B$9:$B$38,B159,Segments!$C$9:$C$38,"&lt;&gt;")=0,"Name segment",IF(LEN(C159)=0,"Choose element",IF(G159="","Name or correct element",IF(LEN(H159)=0,"Enter element weight",IF(NOT(ISNUMBER(H159)),"Numeric weight needed",IF(LEN(D159)=0,"Enter quantity",IF(NOT(ISNUMBER(D159)),"Numeric quantity needed",IF(D159&lt;0,"Quantity below zero","Ready")))))))))))</f>
        <v/>
      </c>
    </row>
    <row r="160" spans="1:10" ht="40" customHeight="1">
      <c r="A160" s="1"/>
      <c r="B160" s="4"/>
      <c r="C160" s="4"/>
      <c r="D160" s="15"/>
      <c r="E160" s="10"/>
      <c r="F160" s="10"/>
      <c r="G160" s="11" t="str">
        <f>IF(LEN(C160)=0,"",IF(COUNTIFS(Elements!$B$9:$B$28,C160,Elements!$C$9:$C$28,"&lt;&gt;")=0,"",INDEX(Elements!$C$9:$C$28,MATCH(C160,Elements!$B$9:$B$28,0))))</f>
        <v/>
      </c>
      <c r="H160" s="8" t="str">
        <f>IF(LEN(C160)=0,"",IF(COUNTIFS(Elements!$B$9:$B$28,C160,Elements!$D$9:$D$28,"&lt;&gt;")=0,"",INDEX(Elements!$D$9:$D$28,MATCH(C160,Elements!$B$9:$B$28,0))))</f>
        <v/>
      </c>
      <c r="I160" s="8" t="str">
        <f t="shared" si="2"/>
        <v/>
      </c>
      <c r="J160" s="7" t="str">
        <f>IF(COUNTA(B160:F160)=0,"",IF(LEN(B160)=0,"Choose segment",IF(COUNTIF(Segments!$B$9:$B$38,B160)=0,"Unknown segment",IF(COUNTIFS(Segments!$B$9:$B$38,B160,Segments!$C$9:$C$38,"&lt;&gt;")=0,"Name segment",IF(LEN(C160)=0,"Choose element",IF(G160="","Name or correct element",IF(LEN(H160)=0,"Enter element weight",IF(NOT(ISNUMBER(H160)),"Numeric weight needed",IF(LEN(D160)=0,"Enter quantity",IF(NOT(ISNUMBER(D160)),"Numeric quantity needed",IF(D160&lt;0,"Quantity below zero","Ready")))))))))))</f>
        <v/>
      </c>
    </row>
    <row r="161" spans="1:10" ht="40" customHeight="1">
      <c r="A161" s="1"/>
      <c r="B161" s="4"/>
      <c r="C161" s="4"/>
      <c r="D161" s="15"/>
      <c r="E161" s="10"/>
      <c r="F161" s="10"/>
      <c r="G161" s="11" t="str">
        <f>IF(LEN(C161)=0,"",IF(COUNTIFS(Elements!$B$9:$B$28,C161,Elements!$C$9:$C$28,"&lt;&gt;")=0,"",INDEX(Elements!$C$9:$C$28,MATCH(C161,Elements!$B$9:$B$28,0))))</f>
        <v/>
      </c>
      <c r="H161" s="8" t="str">
        <f>IF(LEN(C161)=0,"",IF(COUNTIFS(Elements!$B$9:$B$28,C161,Elements!$D$9:$D$28,"&lt;&gt;")=0,"",INDEX(Elements!$D$9:$D$28,MATCH(C161,Elements!$B$9:$B$28,0))))</f>
        <v/>
      </c>
      <c r="I161" s="8" t="str">
        <f t="shared" si="2"/>
        <v/>
      </c>
      <c r="J161" s="7" t="str">
        <f>IF(COUNTA(B161:F161)=0,"",IF(LEN(B161)=0,"Choose segment",IF(COUNTIF(Segments!$B$9:$B$38,B161)=0,"Unknown segment",IF(COUNTIFS(Segments!$B$9:$B$38,B161,Segments!$C$9:$C$38,"&lt;&gt;")=0,"Name segment",IF(LEN(C161)=0,"Choose element",IF(G161="","Name or correct element",IF(LEN(H161)=0,"Enter element weight",IF(NOT(ISNUMBER(H161)),"Numeric weight needed",IF(LEN(D161)=0,"Enter quantity",IF(NOT(ISNUMBER(D161)),"Numeric quantity needed",IF(D161&lt;0,"Quantity below zero","Ready")))))))))))</f>
        <v/>
      </c>
    </row>
    <row r="162" spans="1:10" ht="40" customHeight="1">
      <c r="A162" s="1"/>
      <c r="B162" s="4"/>
      <c r="C162" s="4"/>
      <c r="D162" s="15"/>
      <c r="E162" s="10"/>
      <c r="F162" s="10"/>
      <c r="G162" s="11" t="str">
        <f>IF(LEN(C162)=0,"",IF(COUNTIFS(Elements!$B$9:$B$28,C162,Elements!$C$9:$C$28,"&lt;&gt;")=0,"",INDEX(Elements!$C$9:$C$28,MATCH(C162,Elements!$B$9:$B$28,0))))</f>
        <v/>
      </c>
      <c r="H162" s="8" t="str">
        <f>IF(LEN(C162)=0,"",IF(COUNTIFS(Elements!$B$9:$B$28,C162,Elements!$D$9:$D$28,"&lt;&gt;")=0,"",INDEX(Elements!$D$9:$D$28,MATCH(C162,Elements!$B$9:$B$28,0))))</f>
        <v/>
      </c>
      <c r="I162" s="8" t="str">
        <f t="shared" si="2"/>
        <v/>
      </c>
      <c r="J162" s="7" t="str">
        <f>IF(COUNTA(B162:F162)=0,"",IF(LEN(B162)=0,"Choose segment",IF(COUNTIF(Segments!$B$9:$B$38,B162)=0,"Unknown segment",IF(COUNTIFS(Segments!$B$9:$B$38,B162,Segments!$C$9:$C$38,"&lt;&gt;")=0,"Name segment",IF(LEN(C162)=0,"Choose element",IF(G162="","Name or correct element",IF(LEN(H162)=0,"Enter element weight",IF(NOT(ISNUMBER(H162)),"Numeric weight needed",IF(LEN(D162)=0,"Enter quantity",IF(NOT(ISNUMBER(D162)),"Numeric quantity needed",IF(D162&lt;0,"Quantity below zero","Ready")))))))))))</f>
        <v/>
      </c>
    </row>
    <row r="163" spans="1:10" ht="40" customHeight="1">
      <c r="A163" s="1"/>
      <c r="B163" s="4"/>
      <c r="C163" s="4"/>
      <c r="D163" s="15"/>
      <c r="E163" s="10"/>
      <c r="F163" s="10"/>
      <c r="G163" s="11" t="str">
        <f>IF(LEN(C163)=0,"",IF(COUNTIFS(Elements!$B$9:$B$28,C163,Elements!$C$9:$C$28,"&lt;&gt;")=0,"",INDEX(Elements!$C$9:$C$28,MATCH(C163,Elements!$B$9:$B$28,0))))</f>
        <v/>
      </c>
      <c r="H163" s="8" t="str">
        <f>IF(LEN(C163)=0,"",IF(COUNTIFS(Elements!$B$9:$B$28,C163,Elements!$D$9:$D$28,"&lt;&gt;")=0,"",INDEX(Elements!$D$9:$D$28,MATCH(C163,Elements!$B$9:$B$28,0))))</f>
        <v/>
      </c>
      <c r="I163" s="8" t="str">
        <f t="shared" si="2"/>
        <v/>
      </c>
      <c r="J163" s="7" t="str">
        <f>IF(COUNTA(B163:F163)=0,"",IF(LEN(B163)=0,"Choose segment",IF(COUNTIF(Segments!$B$9:$B$38,B163)=0,"Unknown segment",IF(COUNTIFS(Segments!$B$9:$B$38,B163,Segments!$C$9:$C$38,"&lt;&gt;")=0,"Name segment",IF(LEN(C163)=0,"Choose element",IF(G163="","Name or correct element",IF(LEN(H163)=0,"Enter element weight",IF(NOT(ISNUMBER(H163)),"Numeric weight needed",IF(LEN(D163)=0,"Enter quantity",IF(NOT(ISNUMBER(D163)),"Numeric quantity needed",IF(D163&lt;0,"Quantity below zero","Ready")))))))))))</f>
        <v/>
      </c>
    </row>
    <row r="164" spans="1:10" ht="40" customHeight="1">
      <c r="A164" s="1"/>
      <c r="B164" s="4"/>
      <c r="C164" s="4"/>
      <c r="D164" s="15"/>
      <c r="E164" s="10"/>
      <c r="F164" s="10"/>
      <c r="G164" s="11" t="str">
        <f>IF(LEN(C164)=0,"",IF(COUNTIFS(Elements!$B$9:$B$28,C164,Elements!$C$9:$C$28,"&lt;&gt;")=0,"",INDEX(Elements!$C$9:$C$28,MATCH(C164,Elements!$B$9:$B$28,0))))</f>
        <v/>
      </c>
      <c r="H164" s="8" t="str">
        <f>IF(LEN(C164)=0,"",IF(COUNTIFS(Elements!$B$9:$B$28,C164,Elements!$D$9:$D$28,"&lt;&gt;")=0,"",INDEX(Elements!$D$9:$D$28,MATCH(C164,Elements!$B$9:$B$28,0))))</f>
        <v/>
      </c>
      <c r="I164" s="8" t="str">
        <f t="shared" si="2"/>
        <v/>
      </c>
      <c r="J164" s="7" t="str">
        <f>IF(COUNTA(B164:F164)=0,"",IF(LEN(B164)=0,"Choose segment",IF(COUNTIF(Segments!$B$9:$B$38,B164)=0,"Unknown segment",IF(COUNTIFS(Segments!$B$9:$B$38,B164,Segments!$C$9:$C$38,"&lt;&gt;")=0,"Name segment",IF(LEN(C164)=0,"Choose element",IF(G164="","Name or correct element",IF(LEN(H164)=0,"Enter element weight",IF(NOT(ISNUMBER(H164)),"Numeric weight needed",IF(LEN(D164)=0,"Enter quantity",IF(NOT(ISNUMBER(D164)),"Numeric quantity needed",IF(D164&lt;0,"Quantity below zero","Ready")))))))))))</f>
        <v/>
      </c>
    </row>
    <row r="165" spans="1:10" ht="40" customHeight="1">
      <c r="A165" s="1"/>
      <c r="B165" s="4"/>
      <c r="C165" s="4"/>
      <c r="D165" s="15"/>
      <c r="E165" s="10"/>
      <c r="F165" s="10"/>
      <c r="G165" s="11" t="str">
        <f>IF(LEN(C165)=0,"",IF(COUNTIFS(Elements!$B$9:$B$28,C165,Elements!$C$9:$C$28,"&lt;&gt;")=0,"",INDEX(Elements!$C$9:$C$28,MATCH(C165,Elements!$B$9:$B$28,0))))</f>
        <v/>
      </c>
      <c r="H165" s="8" t="str">
        <f>IF(LEN(C165)=0,"",IF(COUNTIFS(Elements!$B$9:$B$28,C165,Elements!$D$9:$D$28,"&lt;&gt;")=0,"",INDEX(Elements!$D$9:$D$28,MATCH(C165,Elements!$B$9:$B$28,0))))</f>
        <v/>
      </c>
      <c r="I165" s="8" t="str">
        <f t="shared" si="2"/>
        <v/>
      </c>
      <c r="J165" s="7" t="str">
        <f>IF(COUNTA(B165:F165)=0,"",IF(LEN(B165)=0,"Choose segment",IF(COUNTIF(Segments!$B$9:$B$38,B165)=0,"Unknown segment",IF(COUNTIFS(Segments!$B$9:$B$38,B165,Segments!$C$9:$C$38,"&lt;&gt;")=0,"Name segment",IF(LEN(C165)=0,"Choose element",IF(G165="","Name or correct element",IF(LEN(H165)=0,"Enter element weight",IF(NOT(ISNUMBER(H165)),"Numeric weight needed",IF(LEN(D165)=0,"Enter quantity",IF(NOT(ISNUMBER(D165)),"Numeric quantity needed",IF(D165&lt;0,"Quantity below zero","Ready")))))))))))</f>
        <v/>
      </c>
    </row>
    <row r="166" spans="1:10" ht="40" customHeight="1">
      <c r="A166" s="1"/>
      <c r="B166" s="4"/>
      <c r="C166" s="4"/>
      <c r="D166" s="15"/>
      <c r="E166" s="10"/>
      <c r="F166" s="10"/>
      <c r="G166" s="11" t="str">
        <f>IF(LEN(C166)=0,"",IF(COUNTIFS(Elements!$B$9:$B$28,C166,Elements!$C$9:$C$28,"&lt;&gt;")=0,"",INDEX(Elements!$C$9:$C$28,MATCH(C166,Elements!$B$9:$B$28,0))))</f>
        <v/>
      </c>
      <c r="H166" s="8" t="str">
        <f>IF(LEN(C166)=0,"",IF(COUNTIFS(Elements!$B$9:$B$28,C166,Elements!$D$9:$D$28,"&lt;&gt;")=0,"",INDEX(Elements!$D$9:$D$28,MATCH(C166,Elements!$B$9:$B$28,0))))</f>
        <v/>
      </c>
      <c r="I166" s="8" t="str">
        <f t="shared" si="2"/>
        <v/>
      </c>
      <c r="J166" s="7" t="str">
        <f>IF(COUNTA(B166:F166)=0,"",IF(LEN(B166)=0,"Choose segment",IF(COUNTIF(Segments!$B$9:$B$38,B166)=0,"Unknown segment",IF(COUNTIFS(Segments!$B$9:$B$38,B166,Segments!$C$9:$C$38,"&lt;&gt;")=0,"Name segment",IF(LEN(C166)=0,"Choose element",IF(G166="","Name or correct element",IF(LEN(H166)=0,"Enter element weight",IF(NOT(ISNUMBER(H166)),"Numeric weight needed",IF(LEN(D166)=0,"Enter quantity",IF(NOT(ISNUMBER(D166)),"Numeric quantity needed",IF(D166&lt;0,"Quantity below zero","Ready")))))))))))</f>
        <v/>
      </c>
    </row>
    <row r="167" spans="1:10" ht="40" customHeight="1">
      <c r="A167" s="1"/>
      <c r="B167" s="4"/>
      <c r="C167" s="4"/>
      <c r="D167" s="15"/>
      <c r="E167" s="10"/>
      <c r="F167" s="10"/>
      <c r="G167" s="11" t="str">
        <f>IF(LEN(C167)=0,"",IF(COUNTIFS(Elements!$B$9:$B$28,C167,Elements!$C$9:$C$28,"&lt;&gt;")=0,"",INDEX(Elements!$C$9:$C$28,MATCH(C167,Elements!$B$9:$B$28,0))))</f>
        <v/>
      </c>
      <c r="H167" s="8" t="str">
        <f>IF(LEN(C167)=0,"",IF(COUNTIFS(Elements!$B$9:$B$28,C167,Elements!$D$9:$D$28,"&lt;&gt;")=0,"",INDEX(Elements!$D$9:$D$28,MATCH(C167,Elements!$B$9:$B$28,0))))</f>
        <v/>
      </c>
      <c r="I167" s="8" t="str">
        <f t="shared" si="2"/>
        <v/>
      </c>
      <c r="J167" s="7" t="str">
        <f>IF(COUNTA(B167:F167)=0,"",IF(LEN(B167)=0,"Choose segment",IF(COUNTIF(Segments!$B$9:$B$38,B167)=0,"Unknown segment",IF(COUNTIFS(Segments!$B$9:$B$38,B167,Segments!$C$9:$C$38,"&lt;&gt;")=0,"Name segment",IF(LEN(C167)=0,"Choose element",IF(G167="","Name or correct element",IF(LEN(H167)=0,"Enter element weight",IF(NOT(ISNUMBER(H167)),"Numeric weight needed",IF(LEN(D167)=0,"Enter quantity",IF(NOT(ISNUMBER(D167)),"Numeric quantity needed",IF(D167&lt;0,"Quantity below zero","Ready")))))))))))</f>
        <v/>
      </c>
    </row>
    <row r="168" spans="1:10" ht="40" customHeight="1">
      <c r="A168" s="1"/>
      <c r="B168" s="4"/>
      <c r="C168" s="4"/>
      <c r="D168" s="15"/>
      <c r="E168" s="10"/>
      <c r="F168" s="10"/>
      <c r="G168" s="11" t="str">
        <f>IF(LEN(C168)=0,"",IF(COUNTIFS(Elements!$B$9:$B$28,C168,Elements!$C$9:$C$28,"&lt;&gt;")=0,"",INDEX(Elements!$C$9:$C$28,MATCH(C168,Elements!$B$9:$B$28,0))))</f>
        <v/>
      </c>
      <c r="H168" s="8" t="str">
        <f>IF(LEN(C168)=0,"",IF(COUNTIFS(Elements!$B$9:$B$28,C168,Elements!$D$9:$D$28,"&lt;&gt;")=0,"",INDEX(Elements!$D$9:$D$28,MATCH(C168,Elements!$B$9:$B$28,0))))</f>
        <v/>
      </c>
      <c r="I168" s="8" t="str">
        <f t="shared" si="2"/>
        <v/>
      </c>
      <c r="J168" s="7" t="str">
        <f>IF(COUNTA(B168:F168)=0,"",IF(LEN(B168)=0,"Choose segment",IF(COUNTIF(Segments!$B$9:$B$38,B168)=0,"Unknown segment",IF(COUNTIFS(Segments!$B$9:$B$38,B168,Segments!$C$9:$C$38,"&lt;&gt;")=0,"Name segment",IF(LEN(C168)=0,"Choose element",IF(G168="","Name or correct element",IF(LEN(H168)=0,"Enter element weight",IF(NOT(ISNUMBER(H168)),"Numeric weight needed",IF(LEN(D168)=0,"Enter quantity",IF(NOT(ISNUMBER(D168)),"Numeric quantity needed",IF(D168&lt;0,"Quantity below zero","Ready")))))))))))</f>
        <v/>
      </c>
    </row>
    <row r="169" spans="1:10" ht="40" customHeight="1">
      <c r="A169" s="1"/>
      <c r="B169" s="4"/>
      <c r="C169" s="4"/>
      <c r="D169" s="15"/>
      <c r="E169" s="10"/>
      <c r="F169" s="10"/>
      <c r="G169" s="11" t="str">
        <f>IF(LEN(C169)=0,"",IF(COUNTIFS(Elements!$B$9:$B$28,C169,Elements!$C$9:$C$28,"&lt;&gt;")=0,"",INDEX(Elements!$C$9:$C$28,MATCH(C169,Elements!$B$9:$B$28,0))))</f>
        <v/>
      </c>
      <c r="H169" s="8" t="str">
        <f>IF(LEN(C169)=0,"",IF(COUNTIFS(Elements!$B$9:$B$28,C169,Elements!$D$9:$D$28,"&lt;&gt;")=0,"",INDEX(Elements!$D$9:$D$28,MATCH(C169,Elements!$B$9:$B$28,0))))</f>
        <v/>
      </c>
      <c r="I169" s="8" t="str">
        <f t="shared" si="2"/>
        <v/>
      </c>
      <c r="J169" s="7" t="str">
        <f>IF(COUNTA(B169:F169)=0,"",IF(LEN(B169)=0,"Choose segment",IF(COUNTIF(Segments!$B$9:$B$38,B169)=0,"Unknown segment",IF(COUNTIFS(Segments!$B$9:$B$38,B169,Segments!$C$9:$C$38,"&lt;&gt;")=0,"Name segment",IF(LEN(C169)=0,"Choose element",IF(G169="","Name or correct element",IF(LEN(H169)=0,"Enter element weight",IF(NOT(ISNUMBER(H169)),"Numeric weight needed",IF(LEN(D169)=0,"Enter quantity",IF(NOT(ISNUMBER(D169)),"Numeric quantity needed",IF(D169&lt;0,"Quantity below zero","Ready")))))))))))</f>
        <v/>
      </c>
    </row>
    <row r="170" spans="1:10" ht="40" customHeight="1">
      <c r="A170" s="1"/>
      <c r="B170" s="4"/>
      <c r="C170" s="4"/>
      <c r="D170" s="15"/>
      <c r="E170" s="10"/>
      <c r="F170" s="10"/>
      <c r="G170" s="11" t="str">
        <f>IF(LEN(C170)=0,"",IF(COUNTIFS(Elements!$B$9:$B$28,C170,Elements!$C$9:$C$28,"&lt;&gt;")=0,"",INDEX(Elements!$C$9:$C$28,MATCH(C170,Elements!$B$9:$B$28,0))))</f>
        <v/>
      </c>
      <c r="H170" s="8" t="str">
        <f>IF(LEN(C170)=0,"",IF(COUNTIFS(Elements!$B$9:$B$28,C170,Elements!$D$9:$D$28,"&lt;&gt;")=0,"",INDEX(Elements!$D$9:$D$28,MATCH(C170,Elements!$B$9:$B$28,0))))</f>
        <v/>
      </c>
      <c r="I170" s="8" t="str">
        <f t="shared" si="2"/>
        <v/>
      </c>
      <c r="J170" s="7" t="str">
        <f>IF(COUNTA(B170:F170)=0,"",IF(LEN(B170)=0,"Choose segment",IF(COUNTIF(Segments!$B$9:$B$38,B170)=0,"Unknown segment",IF(COUNTIFS(Segments!$B$9:$B$38,B170,Segments!$C$9:$C$38,"&lt;&gt;")=0,"Name segment",IF(LEN(C170)=0,"Choose element",IF(G170="","Name or correct element",IF(LEN(H170)=0,"Enter element weight",IF(NOT(ISNUMBER(H170)),"Numeric weight needed",IF(LEN(D170)=0,"Enter quantity",IF(NOT(ISNUMBER(D170)),"Numeric quantity needed",IF(D170&lt;0,"Quantity below zero","Ready")))))))))))</f>
        <v/>
      </c>
    </row>
    <row r="171" spans="1:10" ht="40" customHeight="1">
      <c r="A171" s="1"/>
      <c r="B171" s="4"/>
      <c r="C171" s="4"/>
      <c r="D171" s="15"/>
      <c r="E171" s="10"/>
      <c r="F171" s="10"/>
      <c r="G171" s="11" t="str">
        <f>IF(LEN(C171)=0,"",IF(COUNTIFS(Elements!$B$9:$B$28,C171,Elements!$C$9:$C$28,"&lt;&gt;")=0,"",INDEX(Elements!$C$9:$C$28,MATCH(C171,Elements!$B$9:$B$28,0))))</f>
        <v/>
      </c>
      <c r="H171" s="8" t="str">
        <f>IF(LEN(C171)=0,"",IF(COUNTIFS(Elements!$B$9:$B$28,C171,Elements!$D$9:$D$28,"&lt;&gt;")=0,"",INDEX(Elements!$D$9:$D$28,MATCH(C171,Elements!$B$9:$B$28,0))))</f>
        <v/>
      </c>
      <c r="I171" s="8" t="str">
        <f t="shared" si="2"/>
        <v/>
      </c>
      <c r="J171" s="7" t="str">
        <f>IF(COUNTA(B171:F171)=0,"",IF(LEN(B171)=0,"Choose segment",IF(COUNTIF(Segments!$B$9:$B$38,B171)=0,"Unknown segment",IF(COUNTIFS(Segments!$B$9:$B$38,B171,Segments!$C$9:$C$38,"&lt;&gt;")=0,"Name segment",IF(LEN(C171)=0,"Choose element",IF(G171="","Name or correct element",IF(LEN(H171)=0,"Enter element weight",IF(NOT(ISNUMBER(H171)),"Numeric weight needed",IF(LEN(D171)=0,"Enter quantity",IF(NOT(ISNUMBER(D171)),"Numeric quantity needed",IF(D171&lt;0,"Quantity below zero","Ready")))))))))))</f>
        <v/>
      </c>
    </row>
    <row r="172" spans="1:10" ht="40" customHeight="1">
      <c r="A172" s="1"/>
      <c r="B172" s="4"/>
      <c r="C172" s="4"/>
      <c r="D172" s="15"/>
      <c r="E172" s="10"/>
      <c r="F172" s="10"/>
      <c r="G172" s="11" t="str">
        <f>IF(LEN(C172)=0,"",IF(COUNTIFS(Elements!$B$9:$B$28,C172,Elements!$C$9:$C$28,"&lt;&gt;")=0,"",INDEX(Elements!$C$9:$C$28,MATCH(C172,Elements!$B$9:$B$28,0))))</f>
        <v/>
      </c>
      <c r="H172" s="8" t="str">
        <f>IF(LEN(C172)=0,"",IF(COUNTIFS(Elements!$B$9:$B$28,C172,Elements!$D$9:$D$28,"&lt;&gt;")=0,"",INDEX(Elements!$D$9:$D$28,MATCH(C172,Elements!$B$9:$B$28,0))))</f>
        <v/>
      </c>
      <c r="I172" s="8" t="str">
        <f t="shared" si="2"/>
        <v/>
      </c>
      <c r="J172" s="7" t="str">
        <f>IF(COUNTA(B172:F172)=0,"",IF(LEN(B172)=0,"Choose segment",IF(COUNTIF(Segments!$B$9:$B$38,B172)=0,"Unknown segment",IF(COUNTIFS(Segments!$B$9:$B$38,B172,Segments!$C$9:$C$38,"&lt;&gt;")=0,"Name segment",IF(LEN(C172)=0,"Choose element",IF(G172="","Name or correct element",IF(LEN(H172)=0,"Enter element weight",IF(NOT(ISNUMBER(H172)),"Numeric weight needed",IF(LEN(D172)=0,"Enter quantity",IF(NOT(ISNUMBER(D172)),"Numeric quantity needed",IF(D172&lt;0,"Quantity below zero","Ready")))))))))))</f>
        <v/>
      </c>
    </row>
    <row r="173" spans="1:10" ht="40" customHeight="1">
      <c r="A173" s="1"/>
      <c r="B173" s="4"/>
      <c r="C173" s="4"/>
      <c r="D173" s="15"/>
      <c r="E173" s="10"/>
      <c r="F173" s="10"/>
      <c r="G173" s="11" t="str">
        <f>IF(LEN(C173)=0,"",IF(COUNTIFS(Elements!$B$9:$B$28,C173,Elements!$C$9:$C$28,"&lt;&gt;")=0,"",INDEX(Elements!$C$9:$C$28,MATCH(C173,Elements!$B$9:$B$28,0))))</f>
        <v/>
      </c>
      <c r="H173" s="8" t="str">
        <f>IF(LEN(C173)=0,"",IF(COUNTIFS(Elements!$B$9:$B$28,C173,Elements!$D$9:$D$28,"&lt;&gt;")=0,"",INDEX(Elements!$D$9:$D$28,MATCH(C173,Elements!$B$9:$B$28,0))))</f>
        <v/>
      </c>
      <c r="I173" s="8" t="str">
        <f t="shared" si="2"/>
        <v/>
      </c>
      <c r="J173" s="7" t="str">
        <f>IF(COUNTA(B173:F173)=0,"",IF(LEN(B173)=0,"Choose segment",IF(COUNTIF(Segments!$B$9:$B$38,B173)=0,"Unknown segment",IF(COUNTIFS(Segments!$B$9:$B$38,B173,Segments!$C$9:$C$38,"&lt;&gt;")=0,"Name segment",IF(LEN(C173)=0,"Choose element",IF(G173="","Name or correct element",IF(LEN(H173)=0,"Enter element weight",IF(NOT(ISNUMBER(H173)),"Numeric weight needed",IF(LEN(D173)=0,"Enter quantity",IF(NOT(ISNUMBER(D173)),"Numeric quantity needed",IF(D173&lt;0,"Quantity below zero","Ready")))))))))))</f>
        <v/>
      </c>
    </row>
    <row r="174" spans="1:10" ht="40" customHeight="1">
      <c r="A174" s="1"/>
      <c r="B174" s="4"/>
      <c r="C174" s="4"/>
      <c r="D174" s="15"/>
      <c r="E174" s="10"/>
      <c r="F174" s="10"/>
      <c r="G174" s="11" t="str">
        <f>IF(LEN(C174)=0,"",IF(COUNTIFS(Elements!$B$9:$B$28,C174,Elements!$C$9:$C$28,"&lt;&gt;")=0,"",INDEX(Elements!$C$9:$C$28,MATCH(C174,Elements!$B$9:$B$28,0))))</f>
        <v/>
      </c>
      <c r="H174" s="8" t="str">
        <f>IF(LEN(C174)=0,"",IF(COUNTIFS(Elements!$B$9:$B$28,C174,Elements!$D$9:$D$28,"&lt;&gt;")=0,"",INDEX(Elements!$D$9:$D$28,MATCH(C174,Elements!$B$9:$B$28,0))))</f>
        <v/>
      </c>
      <c r="I174" s="8" t="str">
        <f t="shared" si="2"/>
        <v/>
      </c>
      <c r="J174" s="7" t="str">
        <f>IF(COUNTA(B174:F174)=0,"",IF(LEN(B174)=0,"Choose segment",IF(COUNTIF(Segments!$B$9:$B$38,B174)=0,"Unknown segment",IF(COUNTIFS(Segments!$B$9:$B$38,B174,Segments!$C$9:$C$38,"&lt;&gt;")=0,"Name segment",IF(LEN(C174)=0,"Choose element",IF(G174="","Name or correct element",IF(LEN(H174)=0,"Enter element weight",IF(NOT(ISNUMBER(H174)),"Numeric weight needed",IF(LEN(D174)=0,"Enter quantity",IF(NOT(ISNUMBER(D174)),"Numeric quantity needed",IF(D174&lt;0,"Quantity below zero","Ready")))))))))))</f>
        <v/>
      </c>
    </row>
    <row r="175" spans="1:10" ht="40" customHeight="1">
      <c r="A175" s="1"/>
      <c r="B175" s="4"/>
      <c r="C175" s="4"/>
      <c r="D175" s="15"/>
      <c r="E175" s="10"/>
      <c r="F175" s="10"/>
      <c r="G175" s="11" t="str">
        <f>IF(LEN(C175)=0,"",IF(COUNTIFS(Elements!$B$9:$B$28,C175,Elements!$C$9:$C$28,"&lt;&gt;")=0,"",INDEX(Elements!$C$9:$C$28,MATCH(C175,Elements!$B$9:$B$28,0))))</f>
        <v/>
      </c>
      <c r="H175" s="8" t="str">
        <f>IF(LEN(C175)=0,"",IF(COUNTIFS(Elements!$B$9:$B$28,C175,Elements!$D$9:$D$28,"&lt;&gt;")=0,"",INDEX(Elements!$D$9:$D$28,MATCH(C175,Elements!$B$9:$B$28,0))))</f>
        <v/>
      </c>
      <c r="I175" s="8" t="str">
        <f t="shared" si="2"/>
        <v/>
      </c>
      <c r="J175" s="7" t="str">
        <f>IF(COUNTA(B175:F175)=0,"",IF(LEN(B175)=0,"Choose segment",IF(COUNTIF(Segments!$B$9:$B$38,B175)=0,"Unknown segment",IF(COUNTIFS(Segments!$B$9:$B$38,B175,Segments!$C$9:$C$38,"&lt;&gt;")=0,"Name segment",IF(LEN(C175)=0,"Choose element",IF(G175="","Name or correct element",IF(LEN(H175)=0,"Enter element weight",IF(NOT(ISNUMBER(H175)),"Numeric weight needed",IF(LEN(D175)=0,"Enter quantity",IF(NOT(ISNUMBER(D175)),"Numeric quantity needed",IF(D175&lt;0,"Quantity below zero","Ready")))))))))))</f>
        <v/>
      </c>
    </row>
    <row r="176" spans="1:10" ht="40" customHeight="1">
      <c r="A176" s="1"/>
      <c r="B176" s="4"/>
      <c r="C176" s="4"/>
      <c r="D176" s="15"/>
      <c r="E176" s="10"/>
      <c r="F176" s="10"/>
      <c r="G176" s="11" t="str">
        <f>IF(LEN(C176)=0,"",IF(COUNTIFS(Elements!$B$9:$B$28,C176,Elements!$C$9:$C$28,"&lt;&gt;")=0,"",INDEX(Elements!$C$9:$C$28,MATCH(C176,Elements!$B$9:$B$28,0))))</f>
        <v/>
      </c>
      <c r="H176" s="8" t="str">
        <f>IF(LEN(C176)=0,"",IF(COUNTIFS(Elements!$B$9:$B$28,C176,Elements!$D$9:$D$28,"&lt;&gt;")=0,"",INDEX(Elements!$D$9:$D$28,MATCH(C176,Elements!$B$9:$B$28,0))))</f>
        <v/>
      </c>
      <c r="I176" s="8" t="str">
        <f t="shared" si="2"/>
        <v/>
      </c>
      <c r="J176" s="7" t="str">
        <f>IF(COUNTA(B176:F176)=0,"",IF(LEN(B176)=0,"Choose segment",IF(COUNTIF(Segments!$B$9:$B$38,B176)=0,"Unknown segment",IF(COUNTIFS(Segments!$B$9:$B$38,B176,Segments!$C$9:$C$38,"&lt;&gt;")=0,"Name segment",IF(LEN(C176)=0,"Choose element",IF(G176="","Name or correct element",IF(LEN(H176)=0,"Enter element weight",IF(NOT(ISNUMBER(H176)),"Numeric weight needed",IF(LEN(D176)=0,"Enter quantity",IF(NOT(ISNUMBER(D176)),"Numeric quantity needed",IF(D176&lt;0,"Quantity below zero","Ready")))))))))))</f>
        <v/>
      </c>
    </row>
    <row r="177" spans="1:10" ht="40" customHeight="1">
      <c r="A177" s="1"/>
      <c r="B177" s="4"/>
      <c r="C177" s="4"/>
      <c r="D177" s="15"/>
      <c r="E177" s="10"/>
      <c r="F177" s="10"/>
      <c r="G177" s="11" t="str">
        <f>IF(LEN(C177)=0,"",IF(COUNTIFS(Elements!$B$9:$B$28,C177,Elements!$C$9:$C$28,"&lt;&gt;")=0,"",INDEX(Elements!$C$9:$C$28,MATCH(C177,Elements!$B$9:$B$28,0))))</f>
        <v/>
      </c>
      <c r="H177" s="8" t="str">
        <f>IF(LEN(C177)=0,"",IF(COUNTIFS(Elements!$B$9:$B$28,C177,Elements!$D$9:$D$28,"&lt;&gt;")=0,"",INDEX(Elements!$D$9:$D$28,MATCH(C177,Elements!$B$9:$B$28,0))))</f>
        <v/>
      </c>
      <c r="I177" s="8" t="str">
        <f t="shared" si="2"/>
        <v/>
      </c>
      <c r="J177" s="7" t="str">
        <f>IF(COUNTA(B177:F177)=0,"",IF(LEN(B177)=0,"Choose segment",IF(COUNTIF(Segments!$B$9:$B$38,B177)=0,"Unknown segment",IF(COUNTIFS(Segments!$B$9:$B$38,B177,Segments!$C$9:$C$38,"&lt;&gt;")=0,"Name segment",IF(LEN(C177)=0,"Choose element",IF(G177="","Name or correct element",IF(LEN(H177)=0,"Enter element weight",IF(NOT(ISNUMBER(H177)),"Numeric weight needed",IF(LEN(D177)=0,"Enter quantity",IF(NOT(ISNUMBER(D177)),"Numeric quantity needed",IF(D177&lt;0,"Quantity below zero","Ready")))))))))))</f>
        <v/>
      </c>
    </row>
    <row r="178" spans="1:10" ht="40" customHeight="1">
      <c r="A178" s="1"/>
      <c r="B178" s="4"/>
      <c r="C178" s="4"/>
      <c r="D178" s="15"/>
      <c r="E178" s="10"/>
      <c r="F178" s="10"/>
      <c r="G178" s="11" t="str">
        <f>IF(LEN(C178)=0,"",IF(COUNTIFS(Elements!$B$9:$B$28,C178,Elements!$C$9:$C$28,"&lt;&gt;")=0,"",INDEX(Elements!$C$9:$C$28,MATCH(C178,Elements!$B$9:$B$28,0))))</f>
        <v/>
      </c>
      <c r="H178" s="8" t="str">
        <f>IF(LEN(C178)=0,"",IF(COUNTIFS(Elements!$B$9:$B$28,C178,Elements!$D$9:$D$28,"&lt;&gt;")=0,"",INDEX(Elements!$D$9:$D$28,MATCH(C178,Elements!$B$9:$B$28,0))))</f>
        <v/>
      </c>
      <c r="I178" s="8" t="str">
        <f t="shared" si="2"/>
        <v/>
      </c>
      <c r="J178" s="7" t="str">
        <f>IF(COUNTA(B178:F178)=0,"",IF(LEN(B178)=0,"Choose segment",IF(COUNTIF(Segments!$B$9:$B$38,B178)=0,"Unknown segment",IF(COUNTIFS(Segments!$B$9:$B$38,B178,Segments!$C$9:$C$38,"&lt;&gt;")=0,"Name segment",IF(LEN(C178)=0,"Choose element",IF(G178="","Name or correct element",IF(LEN(H178)=0,"Enter element weight",IF(NOT(ISNUMBER(H178)),"Numeric weight needed",IF(LEN(D178)=0,"Enter quantity",IF(NOT(ISNUMBER(D178)),"Numeric quantity needed",IF(D178&lt;0,"Quantity below zero","Ready")))))))))))</f>
        <v/>
      </c>
    </row>
    <row r="179" spans="1:10" ht="40" customHeight="1">
      <c r="A179" s="1"/>
      <c r="B179" s="4"/>
      <c r="C179" s="4"/>
      <c r="D179" s="15"/>
      <c r="E179" s="10"/>
      <c r="F179" s="10"/>
      <c r="G179" s="11" t="str">
        <f>IF(LEN(C179)=0,"",IF(COUNTIFS(Elements!$B$9:$B$28,C179,Elements!$C$9:$C$28,"&lt;&gt;")=0,"",INDEX(Elements!$C$9:$C$28,MATCH(C179,Elements!$B$9:$B$28,0))))</f>
        <v/>
      </c>
      <c r="H179" s="8" t="str">
        <f>IF(LEN(C179)=0,"",IF(COUNTIFS(Elements!$B$9:$B$28,C179,Elements!$D$9:$D$28,"&lt;&gt;")=0,"",INDEX(Elements!$D$9:$D$28,MATCH(C179,Elements!$B$9:$B$28,0))))</f>
        <v/>
      </c>
      <c r="I179" s="8" t="str">
        <f t="shared" si="2"/>
        <v/>
      </c>
      <c r="J179" s="7" t="str">
        <f>IF(COUNTA(B179:F179)=0,"",IF(LEN(B179)=0,"Choose segment",IF(COUNTIF(Segments!$B$9:$B$38,B179)=0,"Unknown segment",IF(COUNTIFS(Segments!$B$9:$B$38,B179,Segments!$C$9:$C$38,"&lt;&gt;")=0,"Name segment",IF(LEN(C179)=0,"Choose element",IF(G179="","Name or correct element",IF(LEN(H179)=0,"Enter element weight",IF(NOT(ISNUMBER(H179)),"Numeric weight needed",IF(LEN(D179)=0,"Enter quantity",IF(NOT(ISNUMBER(D179)),"Numeric quantity needed",IF(D179&lt;0,"Quantity below zero","Ready")))))))))))</f>
        <v/>
      </c>
    </row>
    <row r="180" spans="1:10" ht="40" customHeight="1">
      <c r="A180" s="1"/>
      <c r="B180" s="4"/>
      <c r="C180" s="4"/>
      <c r="D180" s="15"/>
      <c r="E180" s="10"/>
      <c r="F180" s="10"/>
      <c r="G180" s="11" t="str">
        <f>IF(LEN(C180)=0,"",IF(COUNTIFS(Elements!$B$9:$B$28,C180,Elements!$C$9:$C$28,"&lt;&gt;")=0,"",INDEX(Elements!$C$9:$C$28,MATCH(C180,Elements!$B$9:$B$28,0))))</f>
        <v/>
      </c>
      <c r="H180" s="8" t="str">
        <f>IF(LEN(C180)=0,"",IF(COUNTIFS(Elements!$B$9:$B$28,C180,Elements!$D$9:$D$28,"&lt;&gt;")=0,"",INDEX(Elements!$D$9:$D$28,MATCH(C180,Elements!$B$9:$B$28,0))))</f>
        <v/>
      </c>
      <c r="I180" s="8" t="str">
        <f t="shared" si="2"/>
        <v/>
      </c>
      <c r="J180" s="7" t="str">
        <f>IF(COUNTA(B180:F180)=0,"",IF(LEN(B180)=0,"Choose segment",IF(COUNTIF(Segments!$B$9:$B$38,B180)=0,"Unknown segment",IF(COUNTIFS(Segments!$B$9:$B$38,B180,Segments!$C$9:$C$38,"&lt;&gt;")=0,"Name segment",IF(LEN(C180)=0,"Choose element",IF(G180="","Name or correct element",IF(LEN(H180)=0,"Enter element weight",IF(NOT(ISNUMBER(H180)),"Numeric weight needed",IF(LEN(D180)=0,"Enter quantity",IF(NOT(ISNUMBER(D180)),"Numeric quantity needed",IF(D180&lt;0,"Quantity below zero","Ready")))))))))))</f>
        <v/>
      </c>
    </row>
    <row r="181" spans="1:10" ht="40" customHeight="1">
      <c r="A181" s="1"/>
      <c r="B181" s="4"/>
      <c r="C181" s="4"/>
      <c r="D181" s="15"/>
      <c r="E181" s="10"/>
      <c r="F181" s="10"/>
      <c r="G181" s="11" t="str">
        <f>IF(LEN(C181)=0,"",IF(COUNTIFS(Elements!$B$9:$B$28,C181,Elements!$C$9:$C$28,"&lt;&gt;")=0,"",INDEX(Elements!$C$9:$C$28,MATCH(C181,Elements!$B$9:$B$28,0))))</f>
        <v/>
      </c>
      <c r="H181" s="8" t="str">
        <f>IF(LEN(C181)=0,"",IF(COUNTIFS(Elements!$B$9:$B$28,C181,Elements!$D$9:$D$28,"&lt;&gt;")=0,"",INDEX(Elements!$D$9:$D$28,MATCH(C181,Elements!$B$9:$B$28,0))))</f>
        <v/>
      </c>
      <c r="I181" s="8" t="str">
        <f t="shared" si="2"/>
        <v/>
      </c>
      <c r="J181" s="7" t="str">
        <f>IF(COUNTA(B181:F181)=0,"",IF(LEN(B181)=0,"Choose segment",IF(COUNTIF(Segments!$B$9:$B$38,B181)=0,"Unknown segment",IF(COUNTIFS(Segments!$B$9:$B$38,B181,Segments!$C$9:$C$38,"&lt;&gt;")=0,"Name segment",IF(LEN(C181)=0,"Choose element",IF(G181="","Name or correct element",IF(LEN(H181)=0,"Enter element weight",IF(NOT(ISNUMBER(H181)),"Numeric weight needed",IF(LEN(D181)=0,"Enter quantity",IF(NOT(ISNUMBER(D181)),"Numeric quantity needed",IF(D181&lt;0,"Quantity below zero","Ready")))))))))))</f>
        <v/>
      </c>
    </row>
    <row r="182" spans="1:10" ht="40" customHeight="1">
      <c r="A182" s="1"/>
      <c r="B182" s="4"/>
      <c r="C182" s="4"/>
      <c r="D182" s="15"/>
      <c r="E182" s="10"/>
      <c r="F182" s="10"/>
      <c r="G182" s="11" t="str">
        <f>IF(LEN(C182)=0,"",IF(COUNTIFS(Elements!$B$9:$B$28,C182,Elements!$C$9:$C$28,"&lt;&gt;")=0,"",INDEX(Elements!$C$9:$C$28,MATCH(C182,Elements!$B$9:$B$28,0))))</f>
        <v/>
      </c>
      <c r="H182" s="8" t="str">
        <f>IF(LEN(C182)=0,"",IF(COUNTIFS(Elements!$B$9:$B$28,C182,Elements!$D$9:$D$28,"&lt;&gt;")=0,"",INDEX(Elements!$D$9:$D$28,MATCH(C182,Elements!$B$9:$B$28,0))))</f>
        <v/>
      </c>
      <c r="I182" s="8" t="str">
        <f t="shared" si="2"/>
        <v/>
      </c>
      <c r="J182" s="7" t="str">
        <f>IF(COUNTA(B182:F182)=0,"",IF(LEN(B182)=0,"Choose segment",IF(COUNTIF(Segments!$B$9:$B$38,B182)=0,"Unknown segment",IF(COUNTIFS(Segments!$B$9:$B$38,B182,Segments!$C$9:$C$38,"&lt;&gt;")=0,"Name segment",IF(LEN(C182)=0,"Choose element",IF(G182="","Name or correct element",IF(LEN(H182)=0,"Enter element weight",IF(NOT(ISNUMBER(H182)),"Numeric weight needed",IF(LEN(D182)=0,"Enter quantity",IF(NOT(ISNUMBER(D182)),"Numeric quantity needed",IF(D182&lt;0,"Quantity below zero","Ready")))))))))))</f>
        <v/>
      </c>
    </row>
    <row r="183" spans="1:10" ht="40" customHeight="1">
      <c r="A183" s="1"/>
      <c r="B183" s="4"/>
      <c r="C183" s="4"/>
      <c r="D183" s="15"/>
      <c r="E183" s="10"/>
      <c r="F183" s="10"/>
      <c r="G183" s="11" t="str">
        <f>IF(LEN(C183)=0,"",IF(COUNTIFS(Elements!$B$9:$B$28,C183,Elements!$C$9:$C$28,"&lt;&gt;")=0,"",INDEX(Elements!$C$9:$C$28,MATCH(C183,Elements!$B$9:$B$28,0))))</f>
        <v/>
      </c>
      <c r="H183" s="8" t="str">
        <f>IF(LEN(C183)=0,"",IF(COUNTIFS(Elements!$B$9:$B$28,C183,Elements!$D$9:$D$28,"&lt;&gt;")=0,"",INDEX(Elements!$D$9:$D$28,MATCH(C183,Elements!$B$9:$B$28,0))))</f>
        <v/>
      </c>
      <c r="I183" s="8" t="str">
        <f t="shared" si="2"/>
        <v/>
      </c>
      <c r="J183" s="7" t="str">
        <f>IF(COUNTA(B183:F183)=0,"",IF(LEN(B183)=0,"Choose segment",IF(COUNTIF(Segments!$B$9:$B$38,B183)=0,"Unknown segment",IF(COUNTIFS(Segments!$B$9:$B$38,B183,Segments!$C$9:$C$38,"&lt;&gt;")=0,"Name segment",IF(LEN(C183)=0,"Choose element",IF(G183="","Name or correct element",IF(LEN(H183)=0,"Enter element weight",IF(NOT(ISNUMBER(H183)),"Numeric weight needed",IF(LEN(D183)=0,"Enter quantity",IF(NOT(ISNUMBER(D183)),"Numeric quantity needed",IF(D183&lt;0,"Quantity below zero","Ready")))))))))))</f>
        <v/>
      </c>
    </row>
    <row r="184" spans="1:10" ht="40" customHeight="1">
      <c r="A184" s="1"/>
      <c r="B184" s="4"/>
      <c r="C184" s="4"/>
      <c r="D184" s="15"/>
      <c r="E184" s="10"/>
      <c r="F184" s="10"/>
      <c r="G184" s="11" t="str">
        <f>IF(LEN(C184)=0,"",IF(COUNTIFS(Elements!$B$9:$B$28,C184,Elements!$C$9:$C$28,"&lt;&gt;")=0,"",INDEX(Elements!$C$9:$C$28,MATCH(C184,Elements!$B$9:$B$28,0))))</f>
        <v/>
      </c>
      <c r="H184" s="8" t="str">
        <f>IF(LEN(C184)=0,"",IF(COUNTIFS(Elements!$B$9:$B$28,C184,Elements!$D$9:$D$28,"&lt;&gt;")=0,"",INDEX(Elements!$D$9:$D$28,MATCH(C184,Elements!$B$9:$B$28,0))))</f>
        <v/>
      </c>
      <c r="I184" s="8" t="str">
        <f t="shared" si="2"/>
        <v/>
      </c>
      <c r="J184" s="7" t="str">
        <f>IF(COUNTA(B184:F184)=0,"",IF(LEN(B184)=0,"Choose segment",IF(COUNTIF(Segments!$B$9:$B$38,B184)=0,"Unknown segment",IF(COUNTIFS(Segments!$B$9:$B$38,B184,Segments!$C$9:$C$38,"&lt;&gt;")=0,"Name segment",IF(LEN(C184)=0,"Choose element",IF(G184="","Name or correct element",IF(LEN(H184)=0,"Enter element weight",IF(NOT(ISNUMBER(H184)),"Numeric weight needed",IF(LEN(D184)=0,"Enter quantity",IF(NOT(ISNUMBER(D184)),"Numeric quantity needed",IF(D184&lt;0,"Quantity below zero","Ready")))))))))))</f>
        <v/>
      </c>
    </row>
    <row r="185" spans="1:10" ht="40" customHeight="1">
      <c r="A185" s="1"/>
      <c r="B185" s="4"/>
      <c r="C185" s="4"/>
      <c r="D185" s="15"/>
      <c r="E185" s="10"/>
      <c r="F185" s="10"/>
      <c r="G185" s="11" t="str">
        <f>IF(LEN(C185)=0,"",IF(COUNTIFS(Elements!$B$9:$B$28,C185,Elements!$C$9:$C$28,"&lt;&gt;")=0,"",INDEX(Elements!$C$9:$C$28,MATCH(C185,Elements!$B$9:$B$28,0))))</f>
        <v/>
      </c>
      <c r="H185" s="8" t="str">
        <f>IF(LEN(C185)=0,"",IF(COUNTIFS(Elements!$B$9:$B$28,C185,Elements!$D$9:$D$28,"&lt;&gt;")=0,"",INDEX(Elements!$D$9:$D$28,MATCH(C185,Elements!$B$9:$B$28,0))))</f>
        <v/>
      </c>
      <c r="I185" s="8" t="str">
        <f t="shared" si="2"/>
        <v/>
      </c>
      <c r="J185" s="7" t="str">
        <f>IF(COUNTA(B185:F185)=0,"",IF(LEN(B185)=0,"Choose segment",IF(COUNTIF(Segments!$B$9:$B$38,B185)=0,"Unknown segment",IF(COUNTIFS(Segments!$B$9:$B$38,B185,Segments!$C$9:$C$38,"&lt;&gt;")=0,"Name segment",IF(LEN(C185)=0,"Choose element",IF(G185="","Name or correct element",IF(LEN(H185)=0,"Enter element weight",IF(NOT(ISNUMBER(H185)),"Numeric weight needed",IF(LEN(D185)=0,"Enter quantity",IF(NOT(ISNUMBER(D185)),"Numeric quantity needed",IF(D185&lt;0,"Quantity below zero","Ready")))))))))))</f>
        <v/>
      </c>
    </row>
    <row r="186" spans="1:10" ht="40" customHeight="1">
      <c r="A186" s="1"/>
      <c r="B186" s="4"/>
      <c r="C186" s="4"/>
      <c r="D186" s="15"/>
      <c r="E186" s="10"/>
      <c r="F186" s="10"/>
      <c r="G186" s="11" t="str">
        <f>IF(LEN(C186)=0,"",IF(COUNTIFS(Elements!$B$9:$B$28,C186,Elements!$C$9:$C$28,"&lt;&gt;")=0,"",INDEX(Elements!$C$9:$C$28,MATCH(C186,Elements!$B$9:$B$28,0))))</f>
        <v/>
      </c>
      <c r="H186" s="8" t="str">
        <f>IF(LEN(C186)=0,"",IF(COUNTIFS(Elements!$B$9:$B$28,C186,Elements!$D$9:$D$28,"&lt;&gt;")=0,"",INDEX(Elements!$D$9:$D$28,MATCH(C186,Elements!$B$9:$B$28,0))))</f>
        <v/>
      </c>
      <c r="I186" s="8" t="str">
        <f t="shared" si="2"/>
        <v/>
      </c>
      <c r="J186" s="7" t="str">
        <f>IF(COUNTA(B186:F186)=0,"",IF(LEN(B186)=0,"Choose segment",IF(COUNTIF(Segments!$B$9:$B$38,B186)=0,"Unknown segment",IF(COUNTIFS(Segments!$B$9:$B$38,B186,Segments!$C$9:$C$38,"&lt;&gt;")=0,"Name segment",IF(LEN(C186)=0,"Choose element",IF(G186="","Name or correct element",IF(LEN(H186)=0,"Enter element weight",IF(NOT(ISNUMBER(H186)),"Numeric weight needed",IF(LEN(D186)=0,"Enter quantity",IF(NOT(ISNUMBER(D186)),"Numeric quantity needed",IF(D186&lt;0,"Quantity below zero","Ready")))))))))))</f>
        <v/>
      </c>
    </row>
    <row r="187" spans="1:10" ht="40" customHeight="1">
      <c r="A187" s="1"/>
      <c r="B187" s="4"/>
      <c r="C187" s="4"/>
      <c r="D187" s="15"/>
      <c r="E187" s="10"/>
      <c r="F187" s="10"/>
      <c r="G187" s="11" t="str">
        <f>IF(LEN(C187)=0,"",IF(COUNTIFS(Elements!$B$9:$B$28,C187,Elements!$C$9:$C$28,"&lt;&gt;")=0,"",INDEX(Elements!$C$9:$C$28,MATCH(C187,Elements!$B$9:$B$28,0))))</f>
        <v/>
      </c>
      <c r="H187" s="8" t="str">
        <f>IF(LEN(C187)=0,"",IF(COUNTIFS(Elements!$B$9:$B$28,C187,Elements!$D$9:$D$28,"&lt;&gt;")=0,"",INDEX(Elements!$D$9:$D$28,MATCH(C187,Elements!$B$9:$B$28,0))))</f>
        <v/>
      </c>
      <c r="I187" s="8" t="str">
        <f t="shared" si="2"/>
        <v/>
      </c>
      <c r="J187" s="7" t="str">
        <f>IF(COUNTA(B187:F187)=0,"",IF(LEN(B187)=0,"Choose segment",IF(COUNTIF(Segments!$B$9:$B$38,B187)=0,"Unknown segment",IF(COUNTIFS(Segments!$B$9:$B$38,B187,Segments!$C$9:$C$38,"&lt;&gt;")=0,"Name segment",IF(LEN(C187)=0,"Choose element",IF(G187="","Name or correct element",IF(LEN(H187)=0,"Enter element weight",IF(NOT(ISNUMBER(H187)),"Numeric weight needed",IF(LEN(D187)=0,"Enter quantity",IF(NOT(ISNUMBER(D187)),"Numeric quantity needed",IF(D187&lt;0,"Quantity below zero","Ready")))))))))))</f>
        <v/>
      </c>
    </row>
    <row r="188" spans="1:10" ht="40" customHeight="1">
      <c r="A188" s="1"/>
      <c r="B188" s="4"/>
      <c r="C188" s="4"/>
      <c r="D188" s="15"/>
      <c r="E188" s="10"/>
      <c r="F188" s="10"/>
      <c r="G188" s="11" t="str">
        <f>IF(LEN(C188)=0,"",IF(COUNTIFS(Elements!$B$9:$B$28,C188,Elements!$C$9:$C$28,"&lt;&gt;")=0,"",INDEX(Elements!$C$9:$C$28,MATCH(C188,Elements!$B$9:$B$28,0))))</f>
        <v/>
      </c>
      <c r="H188" s="8" t="str">
        <f>IF(LEN(C188)=0,"",IF(COUNTIFS(Elements!$B$9:$B$28,C188,Elements!$D$9:$D$28,"&lt;&gt;")=0,"",INDEX(Elements!$D$9:$D$28,MATCH(C188,Elements!$B$9:$B$28,0))))</f>
        <v/>
      </c>
      <c r="I188" s="8" t="str">
        <f t="shared" si="2"/>
        <v/>
      </c>
      <c r="J188" s="7" t="str">
        <f>IF(COUNTA(B188:F188)=0,"",IF(LEN(B188)=0,"Choose segment",IF(COUNTIF(Segments!$B$9:$B$38,B188)=0,"Unknown segment",IF(COUNTIFS(Segments!$B$9:$B$38,B188,Segments!$C$9:$C$38,"&lt;&gt;")=0,"Name segment",IF(LEN(C188)=0,"Choose element",IF(G188="","Name or correct element",IF(LEN(H188)=0,"Enter element weight",IF(NOT(ISNUMBER(H188)),"Numeric weight needed",IF(LEN(D188)=0,"Enter quantity",IF(NOT(ISNUMBER(D188)),"Numeric quantity needed",IF(D188&lt;0,"Quantity below zero","Ready")))))))))))</f>
        <v/>
      </c>
    </row>
    <row r="189" spans="1:10" ht="40" customHeight="1">
      <c r="A189" s="1"/>
      <c r="B189" s="4"/>
      <c r="C189" s="4"/>
      <c r="D189" s="15"/>
      <c r="E189" s="10"/>
      <c r="F189" s="10"/>
      <c r="G189" s="11" t="str">
        <f>IF(LEN(C189)=0,"",IF(COUNTIFS(Elements!$B$9:$B$28,C189,Elements!$C$9:$C$28,"&lt;&gt;")=0,"",INDEX(Elements!$C$9:$C$28,MATCH(C189,Elements!$B$9:$B$28,0))))</f>
        <v/>
      </c>
      <c r="H189" s="8" t="str">
        <f>IF(LEN(C189)=0,"",IF(COUNTIFS(Elements!$B$9:$B$28,C189,Elements!$D$9:$D$28,"&lt;&gt;")=0,"",INDEX(Elements!$D$9:$D$28,MATCH(C189,Elements!$B$9:$B$28,0))))</f>
        <v/>
      </c>
      <c r="I189" s="8" t="str">
        <f t="shared" si="2"/>
        <v/>
      </c>
      <c r="J189" s="7" t="str">
        <f>IF(COUNTA(B189:F189)=0,"",IF(LEN(B189)=0,"Choose segment",IF(COUNTIF(Segments!$B$9:$B$38,B189)=0,"Unknown segment",IF(COUNTIFS(Segments!$B$9:$B$38,B189,Segments!$C$9:$C$38,"&lt;&gt;")=0,"Name segment",IF(LEN(C189)=0,"Choose element",IF(G189="","Name or correct element",IF(LEN(H189)=0,"Enter element weight",IF(NOT(ISNUMBER(H189)),"Numeric weight needed",IF(LEN(D189)=0,"Enter quantity",IF(NOT(ISNUMBER(D189)),"Numeric quantity needed",IF(D189&lt;0,"Quantity below zero","Ready")))))))))))</f>
        <v/>
      </c>
    </row>
    <row r="190" spans="1:10" ht="40" customHeight="1">
      <c r="A190" s="1"/>
      <c r="B190" s="4"/>
      <c r="C190" s="4"/>
      <c r="D190" s="15"/>
      <c r="E190" s="10"/>
      <c r="F190" s="10"/>
      <c r="G190" s="11" t="str">
        <f>IF(LEN(C190)=0,"",IF(COUNTIFS(Elements!$B$9:$B$28,C190,Elements!$C$9:$C$28,"&lt;&gt;")=0,"",INDEX(Elements!$C$9:$C$28,MATCH(C190,Elements!$B$9:$B$28,0))))</f>
        <v/>
      </c>
      <c r="H190" s="8" t="str">
        <f>IF(LEN(C190)=0,"",IF(COUNTIFS(Elements!$B$9:$B$28,C190,Elements!$D$9:$D$28,"&lt;&gt;")=0,"",INDEX(Elements!$D$9:$D$28,MATCH(C190,Elements!$B$9:$B$28,0))))</f>
        <v/>
      </c>
      <c r="I190" s="8" t="str">
        <f t="shared" si="2"/>
        <v/>
      </c>
      <c r="J190" s="7" t="str">
        <f>IF(COUNTA(B190:F190)=0,"",IF(LEN(B190)=0,"Choose segment",IF(COUNTIF(Segments!$B$9:$B$38,B190)=0,"Unknown segment",IF(COUNTIFS(Segments!$B$9:$B$38,B190,Segments!$C$9:$C$38,"&lt;&gt;")=0,"Name segment",IF(LEN(C190)=0,"Choose element",IF(G190="","Name or correct element",IF(LEN(H190)=0,"Enter element weight",IF(NOT(ISNUMBER(H190)),"Numeric weight needed",IF(LEN(D190)=0,"Enter quantity",IF(NOT(ISNUMBER(D190)),"Numeric quantity needed",IF(D190&lt;0,"Quantity below zero","Ready")))))))))))</f>
        <v/>
      </c>
    </row>
    <row r="191" spans="1:10" ht="40" customHeight="1">
      <c r="A191" s="1"/>
      <c r="B191" s="4"/>
      <c r="C191" s="4"/>
      <c r="D191" s="15"/>
      <c r="E191" s="10"/>
      <c r="F191" s="10"/>
      <c r="G191" s="11" t="str">
        <f>IF(LEN(C191)=0,"",IF(COUNTIFS(Elements!$B$9:$B$28,C191,Elements!$C$9:$C$28,"&lt;&gt;")=0,"",INDEX(Elements!$C$9:$C$28,MATCH(C191,Elements!$B$9:$B$28,0))))</f>
        <v/>
      </c>
      <c r="H191" s="8" t="str">
        <f>IF(LEN(C191)=0,"",IF(COUNTIFS(Elements!$B$9:$B$28,C191,Elements!$D$9:$D$28,"&lt;&gt;")=0,"",INDEX(Elements!$D$9:$D$28,MATCH(C191,Elements!$B$9:$B$28,0))))</f>
        <v/>
      </c>
      <c r="I191" s="8" t="str">
        <f t="shared" si="2"/>
        <v/>
      </c>
      <c r="J191" s="7" t="str">
        <f>IF(COUNTA(B191:F191)=0,"",IF(LEN(B191)=0,"Choose segment",IF(COUNTIF(Segments!$B$9:$B$38,B191)=0,"Unknown segment",IF(COUNTIFS(Segments!$B$9:$B$38,B191,Segments!$C$9:$C$38,"&lt;&gt;")=0,"Name segment",IF(LEN(C191)=0,"Choose element",IF(G191="","Name or correct element",IF(LEN(H191)=0,"Enter element weight",IF(NOT(ISNUMBER(H191)),"Numeric weight needed",IF(LEN(D191)=0,"Enter quantity",IF(NOT(ISNUMBER(D191)),"Numeric quantity needed",IF(D191&lt;0,"Quantity below zero","Ready")))))))))))</f>
        <v/>
      </c>
    </row>
    <row r="192" spans="1:10" ht="40" customHeight="1">
      <c r="A192" s="1"/>
      <c r="B192" s="4"/>
      <c r="C192" s="4"/>
      <c r="D192" s="15"/>
      <c r="E192" s="10"/>
      <c r="F192" s="10"/>
      <c r="G192" s="11" t="str">
        <f>IF(LEN(C192)=0,"",IF(COUNTIFS(Elements!$B$9:$B$28,C192,Elements!$C$9:$C$28,"&lt;&gt;")=0,"",INDEX(Elements!$C$9:$C$28,MATCH(C192,Elements!$B$9:$B$28,0))))</f>
        <v/>
      </c>
      <c r="H192" s="8" t="str">
        <f>IF(LEN(C192)=0,"",IF(COUNTIFS(Elements!$B$9:$B$28,C192,Elements!$D$9:$D$28,"&lt;&gt;")=0,"",INDEX(Elements!$D$9:$D$28,MATCH(C192,Elements!$B$9:$B$28,0))))</f>
        <v/>
      </c>
      <c r="I192" s="8" t="str">
        <f t="shared" si="2"/>
        <v/>
      </c>
      <c r="J192" s="7" t="str">
        <f>IF(COUNTA(B192:F192)=0,"",IF(LEN(B192)=0,"Choose segment",IF(COUNTIF(Segments!$B$9:$B$38,B192)=0,"Unknown segment",IF(COUNTIFS(Segments!$B$9:$B$38,B192,Segments!$C$9:$C$38,"&lt;&gt;")=0,"Name segment",IF(LEN(C192)=0,"Choose element",IF(G192="","Name or correct element",IF(LEN(H192)=0,"Enter element weight",IF(NOT(ISNUMBER(H192)),"Numeric weight needed",IF(LEN(D192)=0,"Enter quantity",IF(NOT(ISNUMBER(D192)),"Numeric quantity needed",IF(D192&lt;0,"Quantity below zero","Ready")))))))))))</f>
        <v/>
      </c>
    </row>
    <row r="193" spans="1:10" ht="40" customHeight="1">
      <c r="A193" s="1"/>
      <c r="B193" s="4"/>
      <c r="C193" s="4"/>
      <c r="D193" s="15"/>
      <c r="E193" s="10"/>
      <c r="F193" s="10"/>
      <c r="G193" s="11" t="str">
        <f>IF(LEN(C193)=0,"",IF(COUNTIFS(Elements!$B$9:$B$28,C193,Elements!$C$9:$C$28,"&lt;&gt;")=0,"",INDEX(Elements!$C$9:$C$28,MATCH(C193,Elements!$B$9:$B$28,0))))</f>
        <v/>
      </c>
      <c r="H193" s="8" t="str">
        <f>IF(LEN(C193)=0,"",IF(COUNTIFS(Elements!$B$9:$B$28,C193,Elements!$D$9:$D$28,"&lt;&gt;")=0,"",INDEX(Elements!$D$9:$D$28,MATCH(C193,Elements!$B$9:$B$28,0))))</f>
        <v/>
      </c>
      <c r="I193" s="8" t="str">
        <f t="shared" si="2"/>
        <v/>
      </c>
      <c r="J193" s="7" t="str">
        <f>IF(COUNTA(B193:F193)=0,"",IF(LEN(B193)=0,"Choose segment",IF(COUNTIF(Segments!$B$9:$B$38,B193)=0,"Unknown segment",IF(COUNTIFS(Segments!$B$9:$B$38,B193,Segments!$C$9:$C$38,"&lt;&gt;")=0,"Name segment",IF(LEN(C193)=0,"Choose element",IF(G193="","Name or correct element",IF(LEN(H193)=0,"Enter element weight",IF(NOT(ISNUMBER(H193)),"Numeric weight needed",IF(LEN(D193)=0,"Enter quantity",IF(NOT(ISNUMBER(D193)),"Numeric quantity needed",IF(D193&lt;0,"Quantity below zero","Ready")))))))))))</f>
        <v/>
      </c>
    </row>
    <row r="194" spans="1:10" ht="40" customHeight="1">
      <c r="A194" s="1"/>
      <c r="B194" s="4"/>
      <c r="C194" s="4"/>
      <c r="D194" s="15"/>
      <c r="E194" s="10"/>
      <c r="F194" s="10"/>
      <c r="G194" s="11" t="str">
        <f>IF(LEN(C194)=0,"",IF(COUNTIFS(Elements!$B$9:$B$28,C194,Elements!$C$9:$C$28,"&lt;&gt;")=0,"",INDEX(Elements!$C$9:$C$28,MATCH(C194,Elements!$B$9:$B$28,0))))</f>
        <v/>
      </c>
      <c r="H194" s="8" t="str">
        <f>IF(LEN(C194)=0,"",IF(COUNTIFS(Elements!$B$9:$B$28,C194,Elements!$D$9:$D$28,"&lt;&gt;")=0,"",INDEX(Elements!$D$9:$D$28,MATCH(C194,Elements!$B$9:$B$28,0))))</f>
        <v/>
      </c>
      <c r="I194" s="8" t="str">
        <f t="shared" si="2"/>
        <v/>
      </c>
      <c r="J194" s="7" t="str">
        <f>IF(COUNTA(B194:F194)=0,"",IF(LEN(B194)=0,"Choose segment",IF(COUNTIF(Segments!$B$9:$B$38,B194)=0,"Unknown segment",IF(COUNTIFS(Segments!$B$9:$B$38,B194,Segments!$C$9:$C$38,"&lt;&gt;")=0,"Name segment",IF(LEN(C194)=0,"Choose element",IF(G194="","Name or correct element",IF(LEN(H194)=0,"Enter element weight",IF(NOT(ISNUMBER(H194)),"Numeric weight needed",IF(LEN(D194)=0,"Enter quantity",IF(NOT(ISNUMBER(D194)),"Numeric quantity needed",IF(D194&lt;0,"Quantity below zero","Ready")))))))))))</f>
        <v/>
      </c>
    </row>
    <row r="195" spans="1:10" ht="40" customHeight="1">
      <c r="A195" s="1"/>
      <c r="B195" s="4"/>
      <c r="C195" s="4"/>
      <c r="D195" s="15"/>
      <c r="E195" s="10"/>
      <c r="F195" s="10"/>
      <c r="G195" s="11" t="str">
        <f>IF(LEN(C195)=0,"",IF(COUNTIFS(Elements!$B$9:$B$28,C195,Elements!$C$9:$C$28,"&lt;&gt;")=0,"",INDEX(Elements!$C$9:$C$28,MATCH(C195,Elements!$B$9:$B$28,0))))</f>
        <v/>
      </c>
      <c r="H195" s="8" t="str">
        <f>IF(LEN(C195)=0,"",IF(COUNTIFS(Elements!$B$9:$B$28,C195,Elements!$D$9:$D$28,"&lt;&gt;")=0,"",INDEX(Elements!$D$9:$D$28,MATCH(C195,Elements!$B$9:$B$28,0))))</f>
        <v/>
      </c>
      <c r="I195" s="8" t="str">
        <f t="shared" si="2"/>
        <v/>
      </c>
      <c r="J195" s="7" t="str">
        <f>IF(COUNTA(B195:F195)=0,"",IF(LEN(B195)=0,"Choose segment",IF(COUNTIF(Segments!$B$9:$B$38,B195)=0,"Unknown segment",IF(COUNTIFS(Segments!$B$9:$B$38,B195,Segments!$C$9:$C$38,"&lt;&gt;")=0,"Name segment",IF(LEN(C195)=0,"Choose element",IF(G195="","Name or correct element",IF(LEN(H195)=0,"Enter element weight",IF(NOT(ISNUMBER(H195)),"Numeric weight needed",IF(LEN(D195)=0,"Enter quantity",IF(NOT(ISNUMBER(D195)),"Numeric quantity needed",IF(D195&lt;0,"Quantity below zero","Ready")))))))))))</f>
        <v/>
      </c>
    </row>
    <row r="196" spans="1:10" ht="40" customHeight="1">
      <c r="A196" s="1"/>
      <c r="B196" s="4"/>
      <c r="C196" s="4"/>
      <c r="D196" s="15"/>
      <c r="E196" s="10"/>
      <c r="F196" s="10"/>
      <c r="G196" s="11" t="str">
        <f>IF(LEN(C196)=0,"",IF(COUNTIFS(Elements!$B$9:$B$28,C196,Elements!$C$9:$C$28,"&lt;&gt;")=0,"",INDEX(Elements!$C$9:$C$28,MATCH(C196,Elements!$B$9:$B$28,0))))</f>
        <v/>
      </c>
      <c r="H196" s="8" t="str">
        <f>IF(LEN(C196)=0,"",IF(COUNTIFS(Elements!$B$9:$B$28,C196,Elements!$D$9:$D$28,"&lt;&gt;")=0,"",INDEX(Elements!$D$9:$D$28,MATCH(C196,Elements!$B$9:$B$28,0))))</f>
        <v/>
      </c>
      <c r="I196" s="8" t="str">
        <f t="shared" si="2"/>
        <v/>
      </c>
      <c r="J196" s="7" t="str">
        <f>IF(COUNTA(B196:F196)=0,"",IF(LEN(B196)=0,"Choose segment",IF(COUNTIF(Segments!$B$9:$B$38,B196)=0,"Unknown segment",IF(COUNTIFS(Segments!$B$9:$B$38,B196,Segments!$C$9:$C$38,"&lt;&gt;")=0,"Name segment",IF(LEN(C196)=0,"Choose element",IF(G196="","Name or correct element",IF(LEN(H196)=0,"Enter element weight",IF(NOT(ISNUMBER(H196)),"Numeric weight needed",IF(LEN(D196)=0,"Enter quantity",IF(NOT(ISNUMBER(D196)),"Numeric quantity needed",IF(D196&lt;0,"Quantity below zero","Ready")))))))))))</f>
        <v/>
      </c>
    </row>
    <row r="197" spans="1:10" ht="40" customHeight="1">
      <c r="A197" s="1"/>
      <c r="B197" s="4"/>
      <c r="C197" s="4"/>
      <c r="D197" s="15"/>
      <c r="E197" s="10"/>
      <c r="F197" s="10"/>
      <c r="G197" s="11" t="str">
        <f>IF(LEN(C197)=0,"",IF(COUNTIFS(Elements!$B$9:$B$28,C197,Elements!$C$9:$C$28,"&lt;&gt;")=0,"",INDEX(Elements!$C$9:$C$28,MATCH(C197,Elements!$B$9:$B$28,0))))</f>
        <v/>
      </c>
      <c r="H197" s="8" t="str">
        <f>IF(LEN(C197)=0,"",IF(COUNTIFS(Elements!$B$9:$B$28,C197,Elements!$D$9:$D$28,"&lt;&gt;")=0,"",INDEX(Elements!$D$9:$D$28,MATCH(C197,Elements!$B$9:$B$28,0))))</f>
        <v/>
      </c>
      <c r="I197" s="8" t="str">
        <f t="shared" si="2"/>
        <v/>
      </c>
      <c r="J197" s="7" t="str">
        <f>IF(COUNTA(B197:F197)=0,"",IF(LEN(B197)=0,"Choose segment",IF(COUNTIF(Segments!$B$9:$B$38,B197)=0,"Unknown segment",IF(COUNTIFS(Segments!$B$9:$B$38,B197,Segments!$C$9:$C$38,"&lt;&gt;")=0,"Name segment",IF(LEN(C197)=0,"Choose element",IF(G197="","Name or correct element",IF(LEN(H197)=0,"Enter element weight",IF(NOT(ISNUMBER(H197)),"Numeric weight needed",IF(LEN(D197)=0,"Enter quantity",IF(NOT(ISNUMBER(D197)),"Numeric quantity needed",IF(D197&lt;0,"Quantity below zero","Ready")))))))))))</f>
        <v/>
      </c>
    </row>
    <row r="198" spans="1:10" ht="40" customHeight="1">
      <c r="A198" s="1"/>
      <c r="B198" s="4"/>
      <c r="C198" s="4"/>
      <c r="D198" s="15"/>
      <c r="E198" s="10"/>
      <c r="F198" s="10"/>
      <c r="G198" s="11" t="str">
        <f>IF(LEN(C198)=0,"",IF(COUNTIFS(Elements!$B$9:$B$28,C198,Elements!$C$9:$C$28,"&lt;&gt;")=0,"",INDEX(Elements!$C$9:$C$28,MATCH(C198,Elements!$B$9:$B$28,0))))</f>
        <v/>
      </c>
      <c r="H198" s="8" t="str">
        <f>IF(LEN(C198)=0,"",IF(COUNTIFS(Elements!$B$9:$B$28,C198,Elements!$D$9:$D$28,"&lt;&gt;")=0,"",INDEX(Elements!$D$9:$D$28,MATCH(C198,Elements!$B$9:$B$28,0))))</f>
        <v/>
      </c>
      <c r="I198" s="8" t="str">
        <f t="shared" si="2"/>
        <v/>
      </c>
      <c r="J198" s="7" t="str">
        <f>IF(COUNTA(B198:F198)=0,"",IF(LEN(B198)=0,"Choose segment",IF(COUNTIF(Segments!$B$9:$B$38,B198)=0,"Unknown segment",IF(COUNTIFS(Segments!$B$9:$B$38,B198,Segments!$C$9:$C$38,"&lt;&gt;")=0,"Name segment",IF(LEN(C198)=0,"Choose element",IF(G198="","Name or correct element",IF(LEN(H198)=0,"Enter element weight",IF(NOT(ISNUMBER(H198)),"Numeric weight needed",IF(LEN(D198)=0,"Enter quantity",IF(NOT(ISNUMBER(D198)),"Numeric quantity needed",IF(D198&lt;0,"Quantity below zero","Ready")))))))))))</f>
        <v/>
      </c>
    </row>
    <row r="199" spans="1:10" ht="40" customHeight="1">
      <c r="A199" s="1"/>
      <c r="B199" s="4"/>
      <c r="C199" s="4"/>
      <c r="D199" s="15"/>
      <c r="E199" s="10"/>
      <c r="F199" s="10"/>
      <c r="G199" s="11" t="str">
        <f>IF(LEN(C199)=0,"",IF(COUNTIFS(Elements!$B$9:$B$28,C199,Elements!$C$9:$C$28,"&lt;&gt;")=0,"",INDEX(Elements!$C$9:$C$28,MATCH(C199,Elements!$B$9:$B$28,0))))</f>
        <v/>
      </c>
      <c r="H199" s="8" t="str">
        <f>IF(LEN(C199)=0,"",IF(COUNTIFS(Elements!$B$9:$B$28,C199,Elements!$D$9:$D$28,"&lt;&gt;")=0,"",INDEX(Elements!$D$9:$D$28,MATCH(C199,Elements!$B$9:$B$28,0))))</f>
        <v/>
      </c>
      <c r="I199" s="8" t="str">
        <f t="shared" si="2"/>
        <v/>
      </c>
      <c r="J199" s="7" t="str">
        <f>IF(COUNTA(B199:F199)=0,"",IF(LEN(B199)=0,"Choose segment",IF(COUNTIF(Segments!$B$9:$B$38,B199)=0,"Unknown segment",IF(COUNTIFS(Segments!$B$9:$B$38,B199,Segments!$C$9:$C$38,"&lt;&gt;")=0,"Name segment",IF(LEN(C199)=0,"Choose element",IF(G199="","Name or correct element",IF(LEN(H199)=0,"Enter element weight",IF(NOT(ISNUMBER(H199)),"Numeric weight needed",IF(LEN(D199)=0,"Enter quantity",IF(NOT(ISNUMBER(D199)),"Numeric quantity needed",IF(D199&lt;0,"Quantity below zero","Ready")))))))))))</f>
        <v/>
      </c>
    </row>
    <row r="200" spans="1:10" ht="40" customHeight="1">
      <c r="A200" s="1"/>
      <c r="B200" s="4"/>
      <c r="C200" s="4"/>
      <c r="D200" s="15"/>
      <c r="E200" s="10"/>
      <c r="F200" s="10"/>
      <c r="G200" s="11" t="str">
        <f>IF(LEN(C200)=0,"",IF(COUNTIFS(Elements!$B$9:$B$28,C200,Elements!$C$9:$C$28,"&lt;&gt;")=0,"",INDEX(Elements!$C$9:$C$28,MATCH(C200,Elements!$B$9:$B$28,0))))</f>
        <v/>
      </c>
      <c r="H200" s="8" t="str">
        <f>IF(LEN(C200)=0,"",IF(COUNTIFS(Elements!$B$9:$B$28,C200,Elements!$D$9:$D$28,"&lt;&gt;")=0,"",INDEX(Elements!$D$9:$D$28,MATCH(C200,Elements!$B$9:$B$28,0))))</f>
        <v/>
      </c>
      <c r="I200" s="8" t="str">
        <f t="shared" si="2"/>
        <v/>
      </c>
      <c r="J200" s="7" t="str">
        <f>IF(COUNTA(B200:F200)=0,"",IF(LEN(B200)=0,"Choose segment",IF(COUNTIF(Segments!$B$9:$B$38,B200)=0,"Unknown segment",IF(COUNTIFS(Segments!$B$9:$B$38,B200,Segments!$C$9:$C$38,"&lt;&gt;")=0,"Name segment",IF(LEN(C200)=0,"Choose element",IF(G200="","Name or correct element",IF(LEN(H200)=0,"Enter element weight",IF(NOT(ISNUMBER(H200)),"Numeric weight needed",IF(LEN(D200)=0,"Enter quantity",IF(NOT(ISNUMBER(D200)),"Numeric quantity needed",IF(D200&lt;0,"Quantity below zero","Ready")))))))))))</f>
        <v/>
      </c>
    </row>
    <row r="201" spans="1:10" ht="40" customHeight="1">
      <c r="A201" s="1"/>
      <c r="B201" s="4"/>
      <c r="C201" s="4"/>
      <c r="D201" s="15"/>
      <c r="E201" s="10"/>
      <c r="F201" s="10"/>
      <c r="G201" s="11" t="str">
        <f>IF(LEN(C201)=0,"",IF(COUNTIFS(Elements!$B$9:$B$28,C201,Elements!$C$9:$C$28,"&lt;&gt;")=0,"",INDEX(Elements!$C$9:$C$28,MATCH(C201,Elements!$B$9:$B$28,0))))</f>
        <v/>
      </c>
      <c r="H201" s="8" t="str">
        <f>IF(LEN(C201)=0,"",IF(COUNTIFS(Elements!$B$9:$B$28,C201,Elements!$D$9:$D$28,"&lt;&gt;")=0,"",INDEX(Elements!$D$9:$D$28,MATCH(C201,Elements!$B$9:$B$28,0))))</f>
        <v/>
      </c>
      <c r="I201" s="8" t="str">
        <f t="shared" ref="I201:I264" si="3">IF(J201="Ready",D201*H201,"")</f>
        <v/>
      </c>
      <c r="J201" s="7" t="str">
        <f>IF(COUNTA(B201:F201)=0,"",IF(LEN(B201)=0,"Choose segment",IF(COUNTIF(Segments!$B$9:$B$38,B201)=0,"Unknown segment",IF(COUNTIFS(Segments!$B$9:$B$38,B201,Segments!$C$9:$C$38,"&lt;&gt;")=0,"Name segment",IF(LEN(C201)=0,"Choose element",IF(G201="","Name or correct element",IF(LEN(H201)=0,"Enter element weight",IF(NOT(ISNUMBER(H201)),"Numeric weight needed",IF(LEN(D201)=0,"Enter quantity",IF(NOT(ISNUMBER(D201)),"Numeric quantity needed",IF(D201&lt;0,"Quantity below zero","Ready")))))))))))</f>
        <v/>
      </c>
    </row>
    <row r="202" spans="1:10" ht="40" customHeight="1">
      <c r="A202" s="1"/>
      <c r="B202" s="4"/>
      <c r="C202" s="4"/>
      <c r="D202" s="15"/>
      <c r="E202" s="10"/>
      <c r="F202" s="10"/>
      <c r="G202" s="11" t="str">
        <f>IF(LEN(C202)=0,"",IF(COUNTIFS(Elements!$B$9:$B$28,C202,Elements!$C$9:$C$28,"&lt;&gt;")=0,"",INDEX(Elements!$C$9:$C$28,MATCH(C202,Elements!$B$9:$B$28,0))))</f>
        <v/>
      </c>
      <c r="H202" s="8" t="str">
        <f>IF(LEN(C202)=0,"",IF(COUNTIFS(Elements!$B$9:$B$28,C202,Elements!$D$9:$D$28,"&lt;&gt;")=0,"",INDEX(Elements!$D$9:$D$28,MATCH(C202,Elements!$B$9:$B$28,0))))</f>
        <v/>
      </c>
      <c r="I202" s="8" t="str">
        <f t="shared" si="3"/>
        <v/>
      </c>
      <c r="J202" s="7" t="str">
        <f>IF(COUNTA(B202:F202)=0,"",IF(LEN(B202)=0,"Choose segment",IF(COUNTIF(Segments!$B$9:$B$38,B202)=0,"Unknown segment",IF(COUNTIFS(Segments!$B$9:$B$38,B202,Segments!$C$9:$C$38,"&lt;&gt;")=0,"Name segment",IF(LEN(C202)=0,"Choose element",IF(G202="","Name or correct element",IF(LEN(H202)=0,"Enter element weight",IF(NOT(ISNUMBER(H202)),"Numeric weight needed",IF(LEN(D202)=0,"Enter quantity",IF(NOT(ISNUMBER(D202)),"Numeric quantity needed",IF(D202&lt;0,"Quantity below zero","Ready")))))))))))</f>
        <v/>
      </c>
    </row>
    <row r="203" spans="1:10" ht="40" customHeight="1">
      <c r="A203" s="1"/>
      <c r="B203" s="4"/>
      <c r="C203" s="4"/>
      <c r="D203" s="15"/>
      <c r="E203" s="10"/>
      <c r="F203" s="10"/>
      <c r="G203" s="11" t="str">
        <f>IF(LEN(C203)=0,"",IF(COUNTIFS(Elements!$B$9:$B$28,C203,Elements!$C$9:$C$28,"&lt;&gt;")=0,"",INDEX(Elements!$C$9:$C$28,MATCH(C203,Elements!$B$9:$B$28,0))))</f>
        <v/>
      </c>
      <c r="H203" s="8" t="str">
        <f>IF(LEN(C203)=0,"",IF(COUNTIFS(Elements!$B$9:$B$28,C203,Elements!$D$9:$D$28,"&lt;&gt;")=0,"",INDEX(Elements!$D$9:$D$28,MATCH(C203,Elements!$B$9:$B$28,0))))</f>
        <v/>
      </c>
      <c r="I203" s="8" t="str">
        <f t="shared" si="3"/>
        <v/>
      </c>
      <c r="J203" s="7" t="str">
        <f>IF(COUNTA(B203:F203)=0,"",IF(LEN(B203)=0,"Choose segment",IF(COUNTIF(Segments!$B$9:$B$38,B203)=0,"Unknown segment",IF(COUNTIFS(Segments!$B$9:$B$38,B203,Segments!$C$9:$C$38,"&lt;&gt;")=0,"Name segment",IF(LEN(C203)=0,"Choose element",IF(G203="","Name or correct element",IF(LEN(H203)=0,"Enter element weight",IF(NOT(ISNUMBER(H203)),"Numeric weight needed",IF(LEN(D203)=0,"Enter quantity",IF(NOT(ISNUMBER(D203)),"Numeric quantity needed",IF(D203&lt;0,"Quantity below zero","Ready")))))))))))</f>
        <v/>
      </c>
    </row>
    <row r="204" spans="1:10" ht="40" customHeight="1">
      <c r="A204" s="1"/>
      <c r="B204" s="4"/>
      <c r="C204" s="4"/>
      <c r="D204" s="15"/>
      <c r="E204" s="10"/>
      <c r="F204" s="10"/>
      <c r="G204" s="11" t="str">
        <f>IF(LEN(C204)=0,"",IF(COUNTIFS(Elements!$B$9:$B$28,C204,Elements!$C$9:$C$28,"&lt;&gt;")=0,"",INDEX(Elements!$C$9:$C$28,MATCH(C204,Elements!$B$9:$B$28,0))))</f>
        <v/>
      </c>
      <c r="H204" s="8" t="str">
        <f>IF(LEN(C204)=0,"",IF(COUNTIFS(Elements!$B$9:$B$28,C204,Elements!$D$9:$D$28,"&lt;&gt;")=0,"",INDEX(Elements!$D$9:$D$28,MATCH(C204,Elements!$B$9:$B$28,0))))</f>
        <v/>
      </c>
      <c r="I204" s="8" t="str">
        <f t="shared" si="3"/>
        <v/>
      </c>
      <c r="J204" s="7" t="str">
        <f>IF(COUNTA(B204:F204)=0,"",IF(LEN(B204)=0,"Choose segment",IF(COUNTIF(Segments!$B$9:$B$38,B204)=0,"Unknown segment",IF(COUNTIFS(Segments!$B$9:$B$38,B204,Segments!$C$9:$C$38,"&lt;&gt;")=0,"Name segment",IF(LEN(C204)=0,"Choose element",IF(G204="","Name or correct element",IF(LEN(H204)=0,"Enter element weight",IF(NOT(ISNUMBER(H204)),"Numeric weight needed",IF(LEN(D204)=0,"Enter quantity",IF(NOT(ISNUMBER(D204)),"Numeric quantity needed",IF(D204&lt;0,"Quantity below zero","Ready")))))))))))</f>
        <v/>
      </c>
    </row>
    <row r="205" spans="1:10" ht="40" customHeight="1">
      <c r="A205" s="1"/>
      <c r="B205" s="4"/>
      <c r="C205" s="4"/>
      <c r="D205" s="15"/>
      <c r="E205" s="10"/>
      <c r="F205" s="10"/>
      <c r="G205" s="11" t="str">
        <f>IF(LEN(C205)=0,"",IF(COUNTIFS(Elements!$B$9:$B$28,C205,Elements!$C$9:$C$28,"&lt;&gt;")=0,"",INDEX(Elements!$C$9:$C$28,MATCH(C205,Elements!$B$9:$B$28,0))))</f>
        <v/>
      </c>
      <c r="H205" s="8" t="str">
        <f>IF(LEN(C205)=0,"",IF(COUNTIFS(Elements!$B$9:$B$28,C205,Elements!$D$9:$D$28,"&lt;&gt;")=0,"",INDEX(Elements!$D$9:$D$28,MATCH(C205,Elements!$B$9:$B$28,0))))</f>
        <v/>
      </c>
      <c r="I205" s="8" t="str">
        <f t="shared" si="3"/>
        <v/>
      </c>
      <c r="J205" s="7" t="str">
        <f>IF(COUNTA(B205:F205)=0,"",IF(LEN(B205)=0,"Choose segment",IF(COUNTIF(Segments!$B$9:$B$38,B205)=0,"Unknown segment",IF(COUNTIFS(Segments!$B$9:$B$38,B205,Segments!$C$9:$C$38,"&lt;&gt;")=0,"Name segment",IF(LEN(C205)=0,"Choose element",IF(G205="","Name or correct element",IF(LEN(H205)=0,"Enter element weight",IF(NOT(ISNUMBER(H205)),"Numeric weight needed",IF(LEN(D205)=0,"Enter quantity",IF(NOT(ISNUMBER(D205)),"Numeric quantity needed",IF(D205&lt;0,"Quantity below zero","Ready")))))))))))</f>
        <v/>
      </c>
    </row>
    <row r="206" spans="1:10" ht="40" customHeight="1">
      <c r="A206" s="1"/>
      <c r="B206" s="4"/>
      <c r="C206" s="4"/>
      <c r="D206" s="15"/>
      <c r="E206" s="10"/>
      <c r="F206" s="10"/>
      <c r="G206" s="11" t="str">
        <f>IF(LEN(C206)=0,"",IF(COUNTIFS(Elements!$B$9:$B$28,C206,Elements!$C$9:$C$28,"&lt;&gt;")=0,"",INDEX(Elements!$C$9:$C$28,MATCH(C206,Elements!$B$9:$B$28,0))))</f>
        <v/>
      </c>
      <c r="H206" s="8" t="str">
        <f>IF(LEN(C206)=0,"",IF(COUNTIFS(Elements!$B$9:$B$28,C206,Elements!$D$9:$D$28,"&lt;&gt;")=0,"",INDEX(Elements!$D$9:$D$28,MATCH(C206,Elements!$B$9:$B$28,0))))</f>
        <v/>
      </c>
      <c r="I206" s="8" t="str">
        <f t="shared" si="3"/>
        <v/>
      </c>
      <c r="J206" s="7" t="str">
        <f>IF(COUNTA(B206:F206)=0,"",IF(LEN(B206)=0,"Choose segment",IF(COUNTIF(Segments!$B$9:$B$38,B206)=0,"Unknown segment",IF(COUNTIFS(Segments!$B$9:$B$38,B206,Segments!$C$9:$C$38,"&lt;&gt;")=0,"Name segment",IF(LEN(C206)=0,"Choose element",IF(G206="","Name or correct element",IF(LEN(H206)=0,"Enter element weight",IF(NOT(ISNUMBER(H206)),"Numeric weight needed",IF(LEN(D206)=0,"Enter quantity",IF(NOT(ISNUMBER(D206)),"Numeric quantity needed",IF(D206&lt;0,"Quantity below zero","Ready")))))))))))</f>
        <v/>
      </c>
    </row>
    <row r="207" spans="1:10" ht="40" customHeight="1">
      <c r="A207" s="1"/>
      <c r="B207" s="4"/>
      <c r="C207" s="4"/>
      <c r="D207" s="15"/>
      <c r="E207" s="10"/>
      <c r="F207" s="10"/>
      <c r="G207" s="11" t="str">
        <f>IF(LEN(C207)=0,"",IF(COUNTIFS(Elements!$B$9:$B$28,C207,Elements!$C$9:$C$28,"&lt;&gt;")=0,"",INDEX(Elements!$C$9:$C$28,MATCH(C207,Elements!$B$9:$B$28,0))))</f>
        <v/>
      </c>
      <c r="H207" s="8" t="str">
        <f>IF(LEN(C207)=0,"",IF(COUNTIFS(Elements!$B$9:$B$28,C207,Elements!$D$9:$D$28,"&lt;&gt;")=0,"",INDEX(Elements!$D$9:$D$28,MATCH(C207,Elements!$B$9:$B$28,0))))</f>
        <v/>
      </c>
      <c r="I207" s="8" t="str">
        <f t="shared" si="3"/>
        <v/>
      </c>
      <c r="J207" s="7" t="str">
        <f>IF(COUNTA(B207:F207)=0,"",IF(LEN(B207)=0,"Choose segment",IF(COUNTIF(Segments!$B$9:$B$38,B207)=0,"Unknown segment",IF(COUNTIFS(Segments!$B$9:$B$38,B207,Segments!$C$9:$C$38,"&lt;&gt;")=0,"Name segment",IF(LEN(C207)=0,"Choose element",IF(G207="","Name or correct element",IF(LEN(H207)=0,"Enter element weight",IF(NOT(ISNUMBER(H207)),"Numeric weight needed",IF(LEN(D207)=0,"Enter quantity",IF(NOT(ISNUMBER(D207)),"Numeric quantity needed",IF(D207&lt;0,"Quantity below zero","Ready")))))))))))</f>
        <v/>
      </c>
    </row>
    <row r="208" spans="1:10" ht="40" customHeight="1">
      <c r="A208" s="1"/>
      <c r="B208" s="4"/>
      <c r="C208" s="4"/>
      <c r="D208" s="15"/>
      <c r="E208" s="10"/>
      <c r="F208" s="10"/>
      <c r="G208" s="11" t="str">
        <f>IF(LEN(C208)=0,"",IF(COUNTIFS(Elements!$B$9:$B$28,C208,Elements!$C$9:$C$28,"&lt;&gt;")=0,"",INDEX(Elements!$C$9:$C$28,MATCH(C208,Elements!$B$9:$B$28,0))))</f>
        <v/>
      </c>
      <c r="H208" s="8" t="str">
        <f>IF(LEN(C208)=0,"",IF(COUNTIFS(Elements!$B$9:$B$28,C208,Elements!$D$9:$D$28,"&lt;&gt;")=0,"",INDEX(Elements!$D$9:$D$28,MATCH(C208,Elements!$B$9:$B$28,0))))</f>
        <v/>
      </c>
      <c r="I208" s="8" t="str">
        <f t="shared" si="3"/>
        <v/>
      </c>
      <c r="J208" s="7" t="str">
        <f>IF(COUNTA(B208:F208)=0,"",IF(LEN(B208)=0,"Choose segment",IF(COUNTIF(Segments!$B$9:$B$38,B208)=0,"Unknown segment",IF(COUNTIFS(Segments!$B$9:$B$38,B208,Segments!$C$9:$C$38,"&lt;&gt;")=0,"Name segment",IF(LEN(C208)=0,"Choose element",IF(G208="","Name or correct element",IF(LEN(H208)=0,"Enter element weight",IF(NOT(ISNUMBER(H208)),"Numeric weight needed",IF(LEN(D208)=0,"Enter quantity",IF(NOT(ISNUMBER(D208)),"Numeric quantity needed",IF(D208&lt;0,"Quantity below zero","Ready")))))))))))</f>
        <v/>
      </c>
    </row>
    <row r="209" spans="1:10" ht="40" customHeight="1">
      <c r="A209" s="1"/>
      <c r="B209" s="4"/>
      <c r="C209" s="4"/>
      <c r="D209" s="15"/>
      <c r="E209" s="10"/>
      <c r="F209" s="10"/>
      <c r="G209" s="11" t="str">
        <f>IF(LEN(C209)=0,"",IF(COUNTIFS(Elements!$B$9:$B$28,C209,Elements!$C$9:$C$28,"&lt;&gt;")=0,"",INDEX(Elements!$C$9:$C$28,MATCH(C209,Elements!$B$9:$B$28,0))))</f>
        <v/>
      </c>
      <c r="H209" s="8" t="str">
        <f>IF(LEN(C209)=0,"",IF(COUNTIFS(Elements!$B$9:$B$28,C209,Elements!$D$9:$D$28,"&lt;&gt;")=0,"",INDEX(Elements!$D$9:$D$28,MATCH(C209,Elements!$B$9:$B$28,0))))</f>
        <v/>
      </c>
      <c r="I209" s="8" t="str">
        <f t="shared" si="3"/>
        <v/>
      </c>
      <c r="J209" s="7" t="str">
        <f>IF(COUNTA(B209:F209)=0,"",IF(LEN(B209)=0,"Choose segment",IF(COUNTIF(Segments!$B$9:$B$38,B209)=0,"Unknown segment",IF(COUNTIFS(Segments!$B$9:$B$38,B209,Segments!$C$9:$C$38,"&lt;&gt;")=0,"Name segment",IF(LEN(C209)=0,"Choose element",IF(G209="","Name or correct element",IF(LEN(H209)=0,"Enter element weight",IF(NOT(ISNUMBER(H209)),"Numeric weight needed",IF(LEN(D209)=0,"Enter quantity",IF(NOT(ISNUMBER(D209)),"Numeric quantity needed",IF(D209&lt;0,"Quantity below zero","Ready")))))))))))</f>
        <v/>
      </c>
    </row>
    <row r="210" spans="1:10" ht="40" customHeight="1">
      <c r="A210" s="1"/>
      <c r="B210" s="4"/>
      <c r="C210" s="4"/>
      <c r="D210" s="15"/>
      <c r="E210" s="10"/>
      <c r="F210" s="10"/>
      <c r="G210" s="11" t="str">
        <f>IF(LEN(C210)=0,"",IF(COUNTIFS(Elements!$B$9:$B$28,C210,Elements!$C$9:$C$28,"&lt;&gt;")=0,"",INDEX(Elements!$C$9:$C$28,MATCH(C210,Elements!$B$9:$B$28,0))))</f>
        <v/>
      </c>
      <c r="H210" s="8" t="str">
        <f>IF(LEN(C210)=0,"",IF(COUNTIFS(Elements!$B$9:$B$28,C210,Elements!$D$9:$D$28,"&lt;&gt;")=0,"",INDEX(Elements!$D$9:$D$28,MATCH(C210,Elements!$B$9:$B$28,0))))</f>
        <v/>
      </c>
      <c r="I210" s="8" t="str">
        <f t="shared" si="3"/>
        <v/>
      </c>
      <c r="J210" s="7" t="str">
        <f>IF(COUNTA(B210:F210)=0,"",IF(LEN(B210)=0,"Choose segment",IF(COUNTIF(Segments!$B$9:$B$38,B210)=0,"Unknown segment",IF(COUNTIFS(Segments!$B$9:$B$38,B210,Segments!$C$9:$C$38,"&lt;&gt;")=0,"Name segment",IF(LEN(C210)=0,"Choose element",IF(G210="","Name or correct element",IF(LEN(H210)=0,"Enter element weight",IF(NOT(ISNUMBER(H210)),"Numeric weight needed",IF(LEN(D210)=0,"Enter quantity",IF(NOT(ISNUMBER(D210)),"Numeric quantity needed",IF(D210&lt;0,"Quantity below zero","Ready")))))))))))</f>
        <v/>
      </c>
    </row>
    <row r="211" spans="1:10" ht="40" customHeight="1">
      <c r="A211" s="1"/>
      <c r="B211" s="4"/>
      <c r="C211" s="4"/>
      <c r="D211" s="15"/>
      <c r="E211" s="10"/>
      <c r="F211" s="10"/>
      <c r="G211" s="11" t="str">
        <f>IF(LEN(C211)=0,"",IF(COUNTIFS(Elements!$B$9:$B$28,C211,Elements!$C$9:$C$28,"&lt;&gt;")=0,"",INDEX(Elements!$C$9:$C$28,MATCH(C211,Elements!$B$9:$B$28,0))))</f>
        <v/>
      </c>
      <c r="H211" s="8" t="str">
        <f>IF(LEN(C211)=0,"",IF(COUNTIFS(Elements!$B$9:$B$28,C211,Elements!$D$9:$D$28,"&lt;&gt;")=0,"",INDEX(Elements!$D$9:$D$28,MATCH(C211,Elements!$B$9:$B$28,0))))</f>
        <v/>
      </c>
      <c r="I211" s="8" t="str">
        <f t="shared" si="3"/>
        <v/>
      </c>
      <c r="J211" s="7" t="str">
        <f>IF(COUNTA(B211:F211)=0,"",IF(LEN(B211)=0,"Choose segment",IF(COUNTIF(Segments!$B$9:$B$38,B211)=0,"Unknown segment",IF(COUNTIFS(Segments!$B$9:$B$38,B211,Segments!$C$9:$C$38,"&lt;&gt;")=0,"Name segment",IF(LEN(C211)=0,"Choose element",IF(G211="","Name or correct element",IF(LEN(H211)=0,"Enter element weight",IF(NOT(ISNUMBER(H211)),"Numeric weight needed",IF(LEN(D211)=0,"Enter quantity",IF(NOT(ISNUMBER(D211)),"Numeric quantity needed",IF(D211&lt;0,"Quantity below zero","Ready")))))))))))</f>
        <v/>
      </c>
    </row>
    <row r="212" spans="1:10" ht="40" customHeight="1">
      <c r="A212" s="1"/>
      <c r="B212" s="4"/>
      <c r="C212" s="4"/>
      <c r="D212" s="15"/>
      <c r="E212" s="10"/>
      <c r="F212" s="10"/>
      <c r="G212" s="11" t="str">
        <f>IF(LEN(C212)=0,"",IF(COUNTIFS(Elements!$B$9:$B$28,C212,Elements!$C$9:$C$28,"&lt;&gt;")=0,"",INDEX(Elements!$C$9:$C$28,MATCH(C212,Elements!$B$9:$B$28,0))))</f>
        <v/>
      </c>
      <c r="H212" s="8" t="str">
        <f>IF(LEN(C212)=0,"",IF(COUNTIFS(Elements!$B$9:$B$28,C212,Elements!$D$9:$D$28,"&lt;&gt;")=0,"",INDEX(Elements!$D$9:$D$28,MATCH(C212,Elements!$B$9:$B$28,0))))</f>
        <v/>
      </c>
      <c r="I212" s="8" t="str">
        <f t="shared" si="3"/>
        <v/>
      </c>
      <c r="J212" s="7" t="str">
        <f>IF(COUNTA(B212:F212)=0,"",IF(LEN(B212)=0,"Choose segment",IF(COUNTIF(Segments!$B$9:$B$38,B212)=0,"Unknown segment",IF(COUNTIFS(Segments!$B$9:$B$38,B212,Segments!$C$9:$C$38,"&lt;&gt;")=0,"Name segment",IF(LEN(C212)=0,"Choose element",IF(G212="","Name or correct element",IF(LEN(H212)=0,"Enter element weight",IF(NOT(ISNUMBER(H212)),"Numeric weight needed",IF(LEN(D212)=0,"Enter quantity",IF(NOT(ISNUMBER(D212)),"Numeric quantity needed",IF(D212&lt;0,"Quantity below zero","Ready")))))))))))</f>
        <v/>
      </c>
    </row>
    <row r="213" spans="1:10" ht="40" customHeight="1">
      <c r="A213" s="1"/>
      <c r="B213" s="4"/>
      <c r="C213" s="4"/>
      <c r="D213" s="15"/>
      <c r="E213" s="10"/>
      <c r="F213" s="10"/>
      <c r="G213" s="11" t="str">
        <f>IF(LEN(C213)=0,"",IF(COUNTIFS(Elements!$B$9:$B$28,C213,Elements!$C$9:$C$28,"&lt;&gt;")=0,"",INDEX(Elements!$C$9:$C$28,MATCH(C213,Elements!$B$9:$B$28,0))))</f>
        <v/>
      </c>
      <c r="H213" s="8" t="str">
        <f>IF(LEN(C213)=0,"",IF(COUNTIFS(Elements!$B$9:$B$28,C213,Elements!$D$9:$D$28,"&lt;&gt;")=0,"",INDEX(Elements!$D$9:$D$28,MATCH(C213,Elements!$B$9:$B$28,0))))</f>
        <v/>
      </c>
      <c r="I213" s="8" t="str">
        <f t="shared" si="3"/>
        <v/>
      </c>
      <c r="J213" s="7" t="str">
        <f>IF(COUNTA(B213:F213)=0,"",IF(LEN(B213)=0,"Choose segment",IF(COUNTIF(Segments!$B$9:$B$38,B213)=0,"Unknown segment",IF(COUNTIFS(Segments!$B$9:$B$38,B213,Segments!$C$9:$C$38,"&lt;&gt;")=0,"Name segment",IF(LEN(C213)=0,"Choose element",IF(G213="","Name or correct element",IF(LEN(H213)=0,"Enter element weight",IF(NOT(ISNUMBER(H213)),"Numeric weight needed",IF(LEN(D213)=0,"Enter quantity",IF(NOT(ISNUMBER(D213)),"Numeric quantity needed",IF(D213&lt;0,"Quantity below zero","Ready")))))))))))</f>
        <v/>
      </c>
    </row>
    <row r="214" spans="1:10" ht="40" customHeight="1">
      <c r="A214" s="1"/>
      <c r="B214" s="4"/>
      <c r="C214" s="4"/>
      <c r="D214" s="15"/>
      <c r="E214" s="10"/>
      <c r="F214" s="10"/>
      <c r="G214" s="11" t="str">
        <f>IF(LEN(C214)=0,"",IF(COUNTIFS(Elements!$B$9:$B$28,C214,Elements!$C$9:$C$28,"&lt;&gt;")=0,"",INDEX(Elements!$C$9:$C$28,MATCH(C214,Elements!$B$9:$B$28,0))))</f>
        <v/>
      </c>
      <c r="H214" s="8" t="str">
        <f>IF(LEN(C214)=0,"",IF(COUNTIFS(Elements!$B$9:$B$28,C214,Elements!$D$9:$D$28,"&lt;&gt;")=0,"",INDEX(Elements!$D$9:$D$28,MATCH(C214,Elements!$B$9:$B$28,0))))</f>
        <v/>
      </c>
      <c r="I214" s="8" t="str">
        <f t="shared" si="3"/>
        <v/>
      </c>
      <c r="J214" s="7" t="str">
        <f>IF(COUNTA(B214:F214)=0,"",IF(LEN(B214)=0,"Choose segment",IF(COUNTIF(Segments!$B$9:$B$38,B214)=0,"Unknown segment",IF(COUNTIFS(Segments!$B$9:$B$38,B214,Segments!$C$9:$C$38,"&lt;&gt;")=0,"Name segment",IF(LEN(C214)=0,"Choose element",IF(G214="","Name or correct element",IF(LEN(H214)=0,"Enter element weight",IF(NOT(ISNUMBER(H214)),"Numeric weight needed",IF(LEN(D214)=0,"Enter quantity",IF(NOT(ISNUMBER(D214)),"Numeric quantity needed",IF(D214&lt;0,"Quantity below zero","Ready")))))))))))</f>
        <v/>
      </c>
    </row>
    <row r="215" spans="1:10" ht="40" customHeight="1">
      <c r="A215" s="1"/>
      <c r="B215" s="4"/>
      <c r="C215" s="4"/>
      <c r="D215" s="15"/>
      <c r="E215" s="10"/>
      <c r="F215" s="10"/>
      <c r="G215" s="11" t="str">
        <f>IF(LEN(C215)=0,"",IF(COUNTIFS(Elements!$B$9:$B$28,C215,Elements!$C$9:$C$28,"&lt;&gt;")=0,"",INDEX(Elements!$C$9:$C$28,MATCH(C215,Elements!$B$9:$B$28,0))))</f>
        <v/>
      </c>
      <c r="H215" s="8" t="str">
        <f>IF(LEN(C215)=0,"",IF(COUNTIFS(Elements!$B$9:$B$28,C215,Elements!$D$9:$D$28,"&lt;&gt;")=0,"",INDEX(Elements!$D$9:$D$28,MATCH(C215,Elements!$B$9:$B$28,0))))</f>
        <v/>
      </c>
      <c r="I215" s="8" t="str">
        <f t="shared" si="3"/>
        <v/>
      </c>
      <c r="J215" s="7" t="str">
        <f>IF(COUNTA(B215:F215)=0,"",IF(LEN(B215)=0,"Choose segment",IF(COUNTIF(Segments!$B$9:$B$38,B215)=0,"Unknown segment",IF(COUNTIFS(Segments!$B$9:$B$38,B215,Segments!$C$9:$C$38,"&lt;&gt;")=0,"Name segment",IF(LEN(C215)=0,"Choose element",IF(G215="","Name or correct element",IF(LEN(H215)=0,"Enter element weight",IF(NOT(ISNUMBER(H215)),"Numeric weight needed",IF(LEN(D215)=0,"Enter quantity",IF(NOT(ISNUMBER(D215)),"Numeric quantity needed",IF(D215&lt;0,"Quantity below zero","Ready")))))))))))</f>
        <v/>
      </c>
    </row>
    <row r="216" spans="1:10" ht="40" customHeight="1">
      <c r="A216" s="1"/>
      <c r="B216" s="4"/>
      <c r="C216" s="4"/>
      <c r="D216" s="15"/>
      <c r="E216" s="10"/>
      <c r="F216" s="10"/>
      <c r="G216" s="11" t="str">
        <f>IF(LEN(C216)=0,"",IF(COUNTIFS(Elements!$B$9:$B$28,C216,Elements!$C$9:$C$28,"&lt;&gt;")=0,"",INDEX(Elements!$C$9:$C$28,MATCH(C216,Elements!$B$9:$B$28,0))))</f>
        <v/>
      </c>
      <c r="H216" s="8" t="str">
        <f>IF(LEN(C216)=0,"",IF(COUNTIFS(Elements!$B$9:$B$28,C216,Elements!$D$9:$D$28,"&lt;&gt;")=0,"",INDEX(Elements!$D$9:$D$28,MATCH(C216,Elements!$B$9:$B$28,0))))</f>
        <v/>
      </c>
      <c r="I216" s="8" t="str">
        <f t="shared" si="3"/>
        <v/>
      </c>
      <c r="J216" s="7" t="str">
        <f>IF(COUNTA(B216:F216)=0,"",IF(LEN(B216)=0,"Choose segment",IF(COUNTIF(Segments!$B$9:$B$38,B216)=0,"Unknown segment",IF(COUNTIFS(Segments!$B$9:$B$38,B216,Segments!$C$9:$C$38,"&lt;&gt;")=0,"Name segment",IF(LEN(C216)=0,"Choose element",IF(G216="","Name or correct element",IF(LEN(H216)=0,"Enter element weight",IF(NOT(ISNUMBER(H216)),"Numeric weight needed",IF(LEN(D216)=0,"Enter quantity",IF(NOT(ISNUMBER(D216)),"Numeric quantity needed",IF(D216&lt;0,"Quantity below zero","Ready")))))))))))</f>
        <v/>
      </c>
    </row>
    <row r="217" spans="1:10" ht="40" customHeight="1">
      <c r="A217" s="1"/>
      <c r="B217" s="4"/>
      <c r="C217" s="4"/>
      <c r="D217" s="15"/>
      <c r="E217" s="10"/>
      <c r="F217" s="10"/>
      <c r="G217" s="11" t="str">
        <f>IF(LEN(C217)=0,"",IF(COUNTIFS(Elements!$B$9:$B$28,C217,Elements!$C$9:$C$28,"&lt;&gt;")=0,"",INDEX(Elements!$C$9:$C$28,MATCH(C217,Elements!$B$9:$B$28,0))))</f>
        <v/>
      </c>
      <c r="H217" s="8" t="str">
        <f>IF(LEN(C217)=0,"",IF(COUNTIFS(Elements!$B$9:$B$28,C217,Elements!$D$9:$D$28,"&lt;&gt;")=0,"",INDEX(Elements!$D$9:$D$28,MATCH(C217,Elements!$B$9:$B$28,0))))</f>
        <v/>
      </c>
      <c r="I217" s="8" t="str">
        <f t="shared" si="3"/>
        <v/>
      </c>
      <c r="J217" s="7" t="str">
        <f>IF(COUNTA(B217:F217)=0,"",IF(LEN(B217)=0,"Choose segment",IF(COUNTIF(Segments!$B$9:$B$38,B217)=0,"Unknown segment",IF(COUNTIFS(Segments!$B$9:$B$38,B217,Segments!$C$9:$C$38,"&lt;&gt;")=0,"Name segment",IF(LEN(C217)=0,"Choose element",IF(G217="","Name or correct element",IF(LEN(H217)=0,"Enter element weight",IF(NOT(ISNUMBER(H217)),"Numeric weight needed",IF(LEN(D217)=0,"Enter quantity",IF(NOT(ISNUMBER(D217)),"Numeric quantity needed",IF(D217&lt;0,"Quantity below zero","Ready")))))))))))</f>
        <v/>
      </c>
    </row>
    <row r="218" spans="1:10" ht="40" customHeight="1">
      <c r="A218" s="1"/>
      <c r="B218" s="4"/>
      <c r="C218" s="4"/>
      <c r="D218" s="15"/>
      <c r="E218" s="10"/>
      <c r="F218" s="10"/>
      <c r="G218" s="11" t="str">
        <f>IF(LEN(C218)=0,"",IF(COUNTIFS(Elements!$B$9:$B$28,C218,Elements!$C$9:$C$28,"&lt;&gt;")=0,"",INDEX(Elements!$C$9:$C$28,MATCH(C218,Elements!$B$9:$B$28,0))))</f>
        <v/>
      </c>
      <c r="H218" s="8" t="str">
        <f>IF(LEN(C218)=0,"",IF(COUNTIFS(Elements!$B$9:$B$28,C218,Elements!$D$9:$D$28,"&lt;&gt;")=0,"",INDEX(Elements!$D$9:$D$28,MATCH(C218,Elements!$B$9:$B$28,0))))</f>
        <v/>
      </c>
      <c r="I218" s="8" t="str">
        <f t="shared" si="3"/>
        <v/>
      </c>
      <c r="J218" s="7" t="str">
        <f>IF(COUNTA(B218:F218)=0,"",IF(LEN(B218)=0,"Choose segment",IF(COUNTIF(Segments!$B$9:$B$38,B218)=0,"Unknown segment",IF(COUNTIFS(Segments!$B$9:$B$38,B218,Segments!$C$9:$C$38,"&lt;&gt;")=0,"Name segment",IF(LEN(C218)=0,"Choose element",IF(G218="","Name or correct element",IF(LEN(H218)=0,"Enter element weight",IF(NOT(ISNUMBER(H218)),"Numeric weight needed",IF(LEN(D218)=0,"Enter quantity",IF(NOT(ISNUMBER(D218)),"Numeric quantity needed",IF(D218&lt;0,"Quantity below zero","Ready")))))))))))</f>
        <v/>
      </c>
    </row>
    <row r="219" spans="1:10" ht="40" customHeight="1">
      <c r="A219" s="1"/>
      <c r="B219" s="4"/>
      <c r="C219" s="4"/>
      <c r="D219" s="15"/>
      <c r="E219" s="10"/>
      <c r="F219" s="10"/>
      <c r="G219" s="11" t="str">
        <f>IF(LEN(C219)=0,"",IF(COUNTIFS(Elements!$B$9:$B$28,C219,Elements!$C$9:$C$28,"&lt;&gt;")=0,"",INDEX(Elements!$C$9:$C$28,MATCH(C219,Elements!$B$9:$B$28,0))))</f>
        <v/>
      </c>
      <c r="H219" s="8" t="str">
        <f>IF(LEN(C219)=0,"",IF(COUNTIFS(Elements!$B$9:$B$28,C219,Elements!$D$9:$D$28,"&lt;&gt;")=0,"",INDEX(Elements!$D$9:$D$28,MATCH(C219,Elements!$B$9:$B$28,0))))</f>
        <v/>
      </c>
      <c r="I219" s="8" t="str">
        <f t="shared" si="3"/>
        <v/>
      </c>
      <c r="J219" s="7" t="str">
        <f>IF(COUNTA(B219:F219)=0,"",IF(LEN(B219)=0,"Choose segment",IF(COUNTIF(Segments!$B$9:$B$38,B219)=0,"Unknown segment",IF(COUNTIFS(Segments!$B$9:$B$38,B219,Segments!$C$9:$C$38,"&lt;&gt;")=0,"Name segment",IF(LEN(C219)=0,"Choose element",IF(G219="","Name or correct element",IF(LEN(H219)=0,"Enter element weight",IF(NOT(ISNUMBER(H219)),"Numeric weight needed",IF(LEN(D219)=0,"Enter quantity",IF(NOT(ISNUMBER(D219)),"Numeric quantity needed",IF(D219&lt;0,"Quantity below zero","Ready")))))))))))</f>
        <v/>
      </c>
    </row>
    <row r="220" spans="1:10" ht="40" customHeight="1">
      <c r="A220" s="1"/>
      <c r="B220" s="4"/>
      <c r="C220" s="4"/>
      <c r="D220" s="15"/>
      <c r="E220" s="10"/>
      <c r="F220" s="10"/>
      <c r="G220" s="11" t="str">
        <f>IF(LEN(C220)=0,"",IF(COUNTIFS(Elements!$B$9:$B$28,C220,Elements!$C$9:$C$28,"&lt;&gt;")=0,"",INDEX(Elements!$C$9:$C$28,MATCH(C220,Elements!$B$9:$B$28,0))))</f>
        <v/>
      </c>
      <c r="H220" s="8" t="str">
        <f>IF(LEN(C220)=0,"",IF(COUNTIFS(Elements!$B$9:$B$28,C220,Elements!$D$9:$D$28,"&lt;&gt;")=0,"",INDEX(Elements!$D$9:$D$28,MATCH(C220,Elements!$B$9:$B$28,0))))</f>
        <v/>
      </c>
      <c r="I220" s="8" t="str">
        <f t="shared" si="3"/>
        <v/>
      </c>
      <c r="J220" s="7" t="str">
        <f>IF(COUNTA(B220:F220)=0,"",IF(LEN(B220)=0,"Choose segment",IF(COUNTIF(Segments!$B$9:$B$38,B220)=0,"Unknown segment",IF(COUNTIFS(Segments!$B$9:$B$38,B220,Segments!$C$9:$C$38,"&lt;&gt;")=0,"Name segment",IF(LEN(C220)=0,"Choose element",IF(G220="","Name or correct element",IF(LEN(H220)=0,"Enter element weight",IF(NOT(ISNUMBER(H220)),"Numeric weight needed",IF(LEN(D220)=0,"Enter quantity",IF(NOT(ISNUMBER(D220)),"Numeric quantity needed",IF(D220&lt;0,"Quantity below zero","Ready")))))))))))</f>
        <v/>
      </c>
    </row>
    <row r="221" spans="1:10" ht="40" customHeight="1">
      <c r="A221" s="1"/>
      <c r="B221" s="4"/>
      <c r="C221" s="4"/>
      <c r="D221" s="15"/>
      <c r="E221" s="10"/>
      <c r="F221" s="10"/>
      <c r="G221" s="11" t="str">
        <f>IF(LEN(C221)=0,"",IF(COUNTIFS(Elements!$B$9:$B$28,C221,Elements!$C$9:$C$28,"&lt;&gt;")=0,"",INDEX(Elements!$C$9:$C$28,MATCH(C221,Elements!$B$9:$B$28,0))))</f>
        <v/>
      </c>
      <c r="H221" s="8" t="str">
        <f>IF(LEN(C221)=0,"",IF(COUNTIFS(Elements!$B$9:$B$28,C221,Elements!$D$9:$D$28,"&lt;&gt;")=0,"",INDEX(Elements!$D$9:$D$28,MATCH(C221,Elements!$B$9:$B$28,0))))</f>
        <v/>
      </c>
      <c r="I221" s="8" t="str">
        <f t="shared" si="3"/>
        <v/>
      </c>
      <c r="J221" s="7" t="str">
        <f>IF(COUNTA(B221:F221)=0,"",IF(LEN(B221)=0,"Choose segment",IF(COUNTIF(Segments!$B$9:$B$38,B221)=0,"Unknown segment",IF(COUNTIFS(Segments!$B$9:$B$38,B221,Segments!$C$9:$C$38,"&lt;&gt;")=0,"Name segment",IF(LEN(C221)=0,"Choose element",IF(G221="","Name or correct element",IF(LEN(H221)=0,"Enter element weight",IF(NOT(ISNUMBER(H221)),"Numeric weight needed",IF(LEN(D221)=0,"Enter quantity",IF(NOT(ISNUMBER(D221)),"Numeric quantity needed",IF(D221&lt;0,"Quantity below zero","Ready")))))))))))</f>
        <v/>
      </c>
    </row>
    <row r="222" spans="1:10" ht="40" customHeight="1">
      <c r="A222" s="1"/>
      <c r="B222" s="4"/>
      <c r="C222" s="4"/>
      <c r="D222" s="15"/>
      <c r="E222" s="10"/>
      <c r="F222" s="10"/>
      <c r="G222" s="11" t="str">
        <f>IF(LEN(C222)=0,"",IF(COUNTIFS(Elements!$B$9:$B$28,C222,Elements!$C$9:$C$28,"&lt;&gt;")=0,"",INDEX(Elements!$C$9:$C$28,MATCH(C222,Elements!$B$9:$B$28,0))))</f>
        <v/>
      </c>
      <c r="H222" s="8" t="str">
        <f>IF(LEN(C222)=0,"",IF(COUNTIFS(Elements!$B$9:$B$28,C222,Elements!$D$9:$D$28,"&lt;&gt;")=0,"",INDEX(Elements!$D$9:$D$28,MATCH(C222,Elements!$B$9:$B$28,0))))</f>
        <v/>
      </c>
      <c r="I222" s="8" t="str">
        <f t="shared" si="3"/>
        <v/>
      </c>
      <c r="J222" s="7" t="str">
        <f>IF(COUNTA(B222:F222)=0,"",IF(LEN(B222)=0,"Choose segment",IF(COUNTIF(Segments!$B$9:$B$38,B222)=0,"Unknown segment",IF(COUNTIFS(Segments!$B$9:$B$38,B222,Segments!$C$9:$C$38,"&lt;&gt;")=0,"Name segment",IF(LEN(C222)=0,"Choose element",IF(G222="","Name or correct element",IF(LEN(H222)=0,"Enter element weight",IF(NOT(ISNUMBER(H222)),"Numeric weight needed",IF(LEN(D222)=0,"Enter quantity",IF(NOT(ISNUMBER(D222)),"Numeric quantity needed",IF(D222&lt;0,"Quantity below zero","Ready")))))))))))</f>
        <v/>
      </c>
    </row>
    <row r="223" spans="1:10" ht="40" customHeight="1">
      <c r="A223" s="1"/>
      <c r="B223" s="4"/>
      <c r="C223" s="4"/>
      <c r="D223" s="15"/>
      <c r="E223" s="10"/>
      <c r="F223" s="10"/>
      <c r="G223" s="11" t="str">
        <f>IF(LEN(C223)=0,"",IF(COUNTIFS(Elements!$B$9:$B$28,C223,Elements!$C$9:$C$28,"&lt;&gt;")=0,"",INDEX(Elements!$C$9:$C$28,MATCH(C223,Elements!$B$9:$B$28,0))))</f>
        <v/>
      </c>
      <c r="H223" s="8" t="str">
        <f>IF(LEN(C223)=0,"",IF(COUNTIFS(Elements!$B$9:$B$28,C223,Elements!$D$9:$D$28,"&lt;&gt;")=0,"",INDEX(Elements!$D$9:$D$28,MATCH(C223,Elements!$B$9:$B$28,0))))</f>
        <v/>
      </c>
      <c r="I223" s="8" t="str">
        <f t="shared" si="3"/>
        <v/>
      </c>
      <c r="J223" s="7" t="str">
        <f>IF(COUNTA(B223:F223)=0,"",IF(LEN(B223)=0,"Choose segment",IF(COUNTIF(Segments!$B$9:$B$38,B223)=0,"Unknown segment",IF(COUNTIFS(Segments!$B$9:$B$38,B223,Segments!$C$9:$C$38,"&lt;&gt;")=0,"Name segment",IF(LEN(C223)=0,"Choose element",IF(G223="","Name or correct element",IF(LEN(H223)=0,"Enter element weight",IF(NOT(ISNUMBER(H223)),"Numeric weight needed",IF(LEN(D223)=0,"Enter quantity",IF(NOT(ISNUMBER(D223)),"Numeric quantity needed",IF(D223&lt;0,"Quantity below zero","Ready")))))))))))</f>
        <v/>
      </c>
    </row>
    <row r="224" spans="1:10" ht="40" customHeight="1">
      <c r="A224" s="1"/>
      <c r="B224" s="4"/>
      <c r="C224" s="4"/>
      <c r="D224" s="15"/>
      <c r="E224" s="10"/>
      <c r="F224" s="10"/>
      <c r="G224" s="11" t="str">
        <f>IF(LEN(C224)=0,"",IF(COUNTIFS(Elements!$B$9:$B$28,C224,Elements!$C$9:$C$28,"&lt;&gt;")=0,"",INDEX(Elements!$C$9:$C$28,MATCH(C224,Elements!$B$9:$B$28,0))))</f>
        <v/>
      </c>
      <c r="H224" s="8" t="str">
        <f>IF(LEN(C224)=0,"",IF(COUNTIFS(Elements!$B$9:$B$28,C224,Elements!$D$9:$D$28,"&lt;&gt;")=0,"",INDEX(Elements!$D$9:$D$28,MATCH(C224,Elements!$B$9:$B$28,0))))</f>
        <v/>
      </c>
      <c r="I224" s="8" t="str">
        <f t="shared" si="3"/>
        <v/>
      </c>
      <c r="J224" s="7" t="str">
        <f>IF(COUNTA(B224:F224)=0,"",IF(LEN(B224)=0,"Choose segment",IF(COUNTIF(Segments!$B$9:$B$38,B224)=0,"Unknown segment",IF(COUNTIFS(Segments!$B$9:$B$38,B224,Segments!$C$9:$C$38,"&lt;&gt;")=0,"Name segment",IF(LEN(C224)=0,"Choose element",IF(G224="","Name or correct element",IF(LEN(H224)=0,"Enter element weight",IF(NOT(ISNUMBER(H224)),"Numeric weight needed",IF(LEN(D224)=0,"Enter quantity",IF(NOT(ISNUMBER(D224)),"Numeric quantity needed",IF(D224&lt;0,"Quantity below zero","Ready")))))))))))</f>
        <v/>
      </c>
    </row>
    <row r="225" spans="1:10" ht="40" customHeight="1">
      <c r="A225" s="1"/>
      <c r="B225" s="4"/>
      <c r="C225" s="4"/>
      <c r="D225" s="15"/>
      <c r="E225" s="10"/>
      <c r="F225" s="10"/>
      <c r="G225" s="11" t="str">
        <f>IF(LEN(C225)=0,"",IF(COUNTIFS(Elements!$B$9:$B$28,C225,Elements!$C$9:$C$28,"&lt;&gt;")=0,"",INDEX(Elements!$C$9:$C$28,MATCH(C225,Elements!$B$9:$B$28,0))))</f>
        <v/>
      </c>
      <c r="H225" s="8" t="str">
        <f>IF(LEN(C225)=0,"",IF(COUNTIFS(Elements!$B$9:$B$28,C225,Elements!$D$9:$D$28,"&lt;&gt;")=0,"",INDEX(Elements!$D$9:$D$28,MATCH(C225,Elements!$B$9:$B$28,0))))</f>
        <v/>
      </c>
      <c r="I225" s="8" t="str">
        <f t="shared" si="3"/>
        <v/>
      </c>
      <c r="J225" s="7" t="str">
        <f>IF(COUNTA(B225:F225)=0,"",IF(LEN(B225)=0,"Choose segment",IF(COUNTIF(Segments!$B$9:$B$38,B225)=0,"Unknown segment",IF(COUNTIFS(Segments!$B$9:$B$38,B225,Segments!$C$9:$C$38,"&lt;&gt;")=0,"Name segment",IF(LEN(C225)=0,"Choose element",IF(G225="","Name or correct element",IF(LEN(H225)=0,"Enter element weight",IF(NOT(ISNUMBER(H225)),"Numeric weight needed",IF(LEN(D225)=0,"Enter quantity",IF(NOT(ISNUMBER(D225)),"Numeric quantity needed",IF(D225&lt;0,"Quantity below zero","Ready")))))))))))</f>
        <v/>
      </c>
    </row>
    <row r="226" spans="1:10" ht="40" customHeight="1">
      <c r="A226" s="1"/>
      <c r="B226" s="4"/>
      <c r="C226" s="4"/>
      <c r="D226" s="15"/>
      <c r="E226" s="10"/>
      <c r="F226" s="10"/>
      <c r="G226" s="11" t="str">
        <f>IF(LEN(C226)=0,"",IF(COUNTIFS(Elements!$B$9:$B$28,C226,Elements!$C$9:$C$28,"&lt;&gt;")=0,"",INDEX(Elements!$C$9:$C$28,MATCH(C226,Elements!$B$9:$B$28,0))))</f>
        <v/>
      </c>
      <c r="H226" s="8" t="str">
        <f>IF(LEN(C226)=0,"",IF(COUNTIFS(Elements!$B$9:$B$28,C226,Elements!$D$9:$D$28,"&lt;&gt;")=0,"",INDEX(Elements!$D$9:$D$28,MATCH(C226,Elements!$B$9:$B$28,0))))</f>
        <v/>
      </c>
      <c r="I226" s="8" t="str">
        <f t="shared" si="3"/>
        <v/>
      </c>
      <c r="J226" s="7" t="str">
        <f>IF(COUNTA(B226:F226)=0,"",IF(LEN(B226)=0,"Choose segment",IF(COUNTIF(Segments!$B$9:$B$38,B226)=0,"Unknown segment",IF(COUNTIFS(Segments!$B$9:$B$38,B226,Segments!$C$9:$C$38,"&lt;&gt;")=0,"Name segment",IF(LEN(C226)=0,"Choose element",IF(G226="","Name or correct element",IF(LEN(H226)=0,"Enter element weight",IF(NOT(ISNUMBER(H226)),"Numeric weight needed",IF(LEN(D226)=0,"Enter quantity",IF(NOT(ISNUMBER(D226)),"Numeric quantity needed",IF(D226&lt;0,"Quantity below zero","Ready")))))))))))</f>
        <v/>
      </c>
    </row>
    <row r="227" spans="1:10" ht="40" customHeight="1">
      <c r="A227" s="1"/>
      <c r="B227" s="4"/>
      <c r="C227" s="4"/>
      <c r="D227" s="15"/>
      <c r="E227" s="10"/>
      <c r="F227" s="10"/>
      <c r="G227" s="11" t="str">
        <f>IF(LEN(C227)=0,"",IF(COUNTIFS(Elements!$B$9:$B$28,C227,Elements!$C$9:$C$28,"&lt;&gt;")=0,"",INDEX(Elements!$C$9:$C$28,MATCH(C227,Elements!$B$9:$B$28,0))))</f>
        <v/>
      </c>
      <c r="H227" s="8" t="str">
        <f>IF(LEN(C227)=0,"",IF(COUNTIFS(Elements!$B$9:$B$28,C227,Elements!$D$9:$D$28,"&lt;&gt;")=0,"",INDEX(Elements!$D$9:$D$28,MATCH(C227,Elements!$B$9:$B$28,0))))</f>
        <v/>
      </c>
      <c r="I227" s="8" t="str">
        <f t="shared" si="3"/>
        <v/>
      </c>
      <c r="J227" s="7" t="str">
        <f>IF(COUNTA(B227:F227)=0,"",IF(LEN(B227)=0,"Choose segment",IF(COUNTIF(Segments!$B$9:$B$38,B227)=0,"Unknown segment",IF(COUNTIFS(Segments!$B$9:$B$38,B227,Segments!$C$9:$C$38,"&lt;&gt;")=0,"Name segment",IF(LEN(C227)=0,"Choose element",IF(G227="","Name or correct element",IF(LEN(H227)=0,"Enter element weight",IF(NOT(ISNUMBER(H227)),"Numeric weight needed",IF(LEN(D227)=0,"Enter quantity",IF(NOT(ISNUMBER(D227)),"Numeric quantity needed",IF(D227&lt;0,"Quantity below zero","Ready")))))))))))</f>
        <v/>
      </c>
    </row>
    <row r="228" spans="1:10" ht="40" customHeight="1">
      <c r="A228" s="1"/>
      <c r="B228" s="4"/>
      <c r="C228" s="4"/>
      <c r="D228" s="15"/>
      <c r="E228" s="10"/>
      <c r="F228" s="10"/>
      <c r="G228" s="11" t="str">
        <f>IF(LEN(C228)=0,"",IF(COUNTIFS(Elements!$B$9:$B$28,C228,Elements!$C$9:$C$28,"&lt;&gt;")=0,"",INDEX(Elements!$C$9:$C$28,MATCH(C228,Elements!$B$9:$B$28,0))))</f>
        <v/>
      </c>
      <c r="H228" s="8" t="str">
        <f>IF(LEN(C228)=0,"",IF(COUNTIFS(Elements!$B$9:$B$28,C228,Elements!$D$9:$D$28,"&lt;&gt;")=0,"",INDEX(Elements!$D$9:$D$28,MATCH(C228,Elements!$B$9:$B$28,0))))</f>
        <v/>
      </c>
      <c r="I228" s="8" t="str">
        <f t="shared" si="3"/>
        <v/>
      </c>
      <c r="J228" s="7" t="str">
        <f>IF(COUNTA(B228:F228)=0,"",IF(LEN(B228)=0,"Choose segment",IF(COUNTIF(Segments!$B$9:$B$38,B228)=0,"Unknown segment",IF(COUNTIFS(Segments!$B$9:$B$38,B228,Segments!$C$9:$C$38,"&lt;&gt;")=0,"Name segment",IF(LEN(C228)=0,"Choose element",IF(G228="","Name or correct element",IF(LEN(H228)=0,"Enter element weight",IF(NOT(ISNUMBER(H228)),"Numeric weight needed",IF(LEN(D228)=0,"Enter quantity",IF(NOT(ISNUMBER(D228)),"Numeric quantity needed",IF(D228&lt;0,"Quantity below zero","Ready")))))))))))</f>
        <v/>
      </c>
    </row>
    <row r="229" spans="1:10" ht="40" customHeight="1">
      <c r="A229" s="1"/>
      <c r="B229" s="4"/>
      <c r="C229" s="4"/>
      <c r="D229" s="15"/>
      <c r="E229" s="10"/>
      <c r="F229" s="10"/>
      <c r="G229" s="11" t="str">
        <f>IF(LEN(C229)=0,"",IF(COUNTIFS(Elements!$B$9:$B$28,C229,Elements!$C$9:$C$28,"&lt;&gt;")=0,"",INDEX(Elements!$C$9:$C$28,MATCH(C229,Elements!$B$9:$B$28,0))))</f>
        <v/>
      </c>
      <c r="H229" s="8" t="str">
        <f>IF(LEN(C229)=0,"",IF(COUNTIFS(Elements!$B$9:$B$28,C229,Elements!$D$9:$D$28,"&lt;&gt;")=0,"",INDEX(Elements!$D$9:$D$28,MATCH(C229,Elements!$B$9:$B$28,0))))</f>
        <v/>
      </c>
      <c r="I229" s="8" t="str">
        <f t="shared" si="3"/>
        <v/>
      </c>
      <c r="J229" s="7" t="str">
        <f>IF(COUNTA(B229:F229)=0,"",IF(LEN(B229)=0,"Choose segment",IF(COUNTIF(Segments!$B$9:$B$38,B229)=0,"Unknown segment",IF(COUNTIFS(Segments!$B$9:$B$38,B229,Segments!$C$9:$C$38,"&lt;&gt;")=0,"Name segment",IF(LEN(C229)=0,"Choose element",IF(G229="","Name or correct element",IF(LEN(H229)=0,"Enter element weight",IF(NOT(ISNUMBER(H229)),"Numeric weight needed",IF(LEN(D229)=0,"Enter quantity",IF(NOT(ISNUMBER(D229)),"Numeric quantity needed",IF(D229&lt;0,"Quantity below zero","Ready")))))))))))</f>
        <v/>
      </c>
    </row>
    <row r="230" spans="1:10" ht="40" customHeight="1">
      <c r="A230" s="1"/>
      <c r="B230" s="4"/>
      <c r="C230" s="4"/>
      <c r="D230" s="15"/>
      <c r="E230" s="10"/>
      <c r="F230" s="10"/>
      <c r="G230" s="11" t="str">
        <f>IF(LEN(C230)=0,"",IF(COUNTIFS(Elements!$B$9:$B$28,C230,Elements!$C$9:$C$28,"&lt;&gt;")=0,"",INDEX(Elements!$C$9:$C$28,MATCH(C230,Elements!$B$9:$B$28,0))))</f>
        <v/>
      </c>
      <c r="H230" s="8" t="str">
        <f>IF(LEN(C230)=0,"",IF(COUNTIFS(Elements!$B$9:$B$28,C230,Elements!$D$9:$D$28,"&lt;&gt;")=0,"",INDEX(Elements!$D$9:$D$28,MATCH(C230,Elements!$B$9:$B$28,0))))</f>
        <v/>
      </c>
      <c r="I230" s="8" t="str">
        <f t="shared" si="3"/>
        <v/>
      </c>
      <c r="J230" s="7" t="str">
        <f>IF(COUNTA(B230:F230)=0,"",IF(LEN(B230)=0,"Choose segment",IF(COUNTIF(Segments!$B$9:$B$38,B230)=0,"Unknown segment",IF(COUNTIFS(Segments!$B$9:$B$38,B230,Segments!$C$9:$C$38,"&lt;&gt;")=0,"Name segment",IF(LEN(C230)=0,"Choose element",IF(G230="","Name or correct element",IF(LEN(H230)=0,"Enter element weight",IF(NOT(ISNUMBER(H230)),"Numeric weight needed",IF(LEN(D230)=0,"Enter quantity",IF(NOT(ISNUMBER(D230)),"Numeric quantity needed",IF(D230&lt;0,"Quantity below zero","Ready")))))))))))</f>
        <v/>
      </c>
    </row>
    <row r="231" spans="1:10" ht="40" customHeight="1">
      <c r="A231" s="1"/>
      <c r="B231" s="4"/>
      <c r="C231" s="4"/>
      <c r="D231" s="15"/>
      <c r="E231" s="10"/>
      <c r="F231" s="10"/>
      <c r="G231" s="11" t="str">
        <f>IF(LEN(C231)=0,"",IF(COUNTIFS(Elements!$B$9:$B$28,C231,Elements!$C$9:$C$28,"&lt;&gt;")=0,"",INDEX(Elements!$C$9:$C$28,MATCH(C231,Elements!$B$9:$B$28,0))))</f>
        <v/>
      </c>
      <c r="H231" s="8" t="str">
        <f>IF(LEN(C231)=0,"",IF(COUNTIFS(Elements!$B$9:$B$28,C231,Elements!$D$9:$D$28,"&lt;&gt;")=0,"",INDEX(Elements!$D$9:$D$28,MATCH(C231,Elements!$B$9:$B$28,0))))</f>
        <v/>
      </c>
      <c r="I231" s="8" t="str">
        <f t="shared" si="3"/>
        <v/>
      </c>
      <c r="J231" s="7" t="str">
        <f>IF(COUNTA(B231:F231)=0,"",IF(LEN(B231)=0,"Choose segment",IF(COUNTIF(Segments!$B$9:$B$38,B231)=0,"Unknown segment",IF(COUNTIFS(Segments!$B$9:$B$38,B231,Segments!$C$9:$C$38,"&lt;&gt;")=0,"Name segment",IF(LEN(C231)=0,"Choose element",IF(G231="","Name or correct element",IF(LEN(H231)=0,"Enter element weight",IF(NOT(ISNUMBER(H231)),"Numeric weight needed",IF(LEN(D231)=0,"Enter quantity",IF(NOT(ISNUMBER(D231)),"Numeric quantity needed",IF(D231&lt;0,"Quantity below zero","Ready")))))))))))</f>
        <v/>
      </c>
    </row>
    <row r="232" spans="1:10" ht="40" customHeight="1">
      <c r="A232" s="1"/>
      <c r="B232" s="4"/>
      <c r="C232" s="4"/>
      <c r="D232" s="15"/>
      <c r="E232" s="10"/>
      <c r="F232" s="10"/>
      <c r="G232" s="11" t="str">
        <f>IF(LEN(C232)=0,"",IF(COUNTIFS(Elements!$B$9:$B$28,C232,Elements!$C$9:$C$28,"&lt;&gt;")=0,"",INDEX(Elements!$C$9:$C$28,MATCH(C232,Elements!$B$9:$B$28,0))))</f>
        <v/>
      </c>
      <c r="H232" s="8" t="str">
        <f>IF(LEN(C232)=0,"",IF(COUNTIFS(Elements!$B$9:$B$28,C232,Elements!$D$9:$D$28,"&lt;&gt;")=0,"",INDEX(Elements!$D$9:$D$28,MATCH(C232,Elements!$B$9:$B$28,0))))</f>
        <v/>
      </c>
      <c r="I232" s="8" t="str">
        <f t="shared" si="3"/>
        <v/>
      </c>
      <c r="J232" s="7" t="str">
        <f>IF(COUNTA(B232:F232)=0,"",IF(LEN(B232)=0,"Choose segment",IF(COUNTIF(Segments!$B$9:$B$38,B232)=0,"Unknown segment",IF(COUNTIFS(Segments!$B$9:$B$38,B232,Segments!$C$9:$C$38,"&lt;&gt;")=0,"Name segment",IF(LEN(C232)=0,"Choose element",IF(G232="","Name or correct element",IF(LEN(H232)=0,"Enter element weight",IF(NOT(ISNUMBER(H232)),"Numeric weight needed",IF(LEN(D232)=0,"Enter quantity",IF(NOT(ISNUMBER(D232)),"Numeric quantity needed",IF(D232&lt;0,"Quantity below zero","Ready")))))))))))</f>
        <v/>
      </c>
    </row>
    <row r="233" spans="1:10" ht="40" customHeight="1">
      <c r="A233" s="1"/>
      <c r="B233" s="4"/>
      <c r="C233" s="4"/>
      <c r="D233" s="15"/>
      <c r="E233" s="10"/>
      <c r="F233" s="10"/>
      <c r="G233" s="11" t="str">
        <f>IF(LEN(C233)=0,"",IF(COUNTIFS(Elements!$B$9:$B$28,C233,Elements!$C$9:$C$28,"&lt;&gt;")=0,"",INDEX(Elements!$C$9:$C$28,MATCH(C233,Elements!$B$9:$B$28,0))))</f>
        <v/>
      </c>
      <c r="H233" s="8" t="str">
        <f>IF(LEN(C233)=0,"",IF(COUNTIFS(Elements!$B$9:$B$28,C233,Elements!$D$9:$D$28,"&lt;&gt;")=0,"",INDEX(Elements!$D$9:$D$28,MATCH(C233,Elements!$B$9:$B$28,0))))</f>
        <v/>
      </c>
      <c r="I233" s="8" t="str">
        <f t="shared" si="3"/>
        <v/>
      </c>
      <c r="J233" s="7" t="str">
        <f>IF(COUNTA(B233:F233)=0,"",IF(LEN(B233)=0,"Choose segment",IF(COUNTIF(Segments!$B$9:$B$38,B233)=0,"Unknown segment",IF(COUNTIFS(Segments!$B$9:$B$38,B233,Segments!$C$9:$C$38,"&lt;&gt;")=0,"Name segment",IF(LEN(C233)=0,"Choose element",IF(G233="","Name or correct element",IF(LEN(H233)=0,"Enter element weight",IF(NOT(ISNUMBER(H233)),"Numeric weight needed",IF(LEN(D233)=0,"Enter quantity",IF(NOT(ISNUMBER(D233)),"Numeric quantity needed",IF(D233&lt;0,"Quantity below zero","Ready")))))))))))</f>
        <v/>
      </c>
    </row>
    <row r="234" spans="1:10" ht="40" customHeight="1">
      <c r="A234" s="1"/>
      <c r="B234" s="4"/>
      <c r="C234" s="4"/>
      <c r="D234" s="15"/>
      <c r="E234" s="10"/>
      <c r="F234" s="10"/>
      <c r="G234" s="11" t="str">
        <f>IF(LEN(C234)=0,"",IF(COUNTIFS(Elements!$B$9:$B$28,C234,Elements!$C$9:$C$28,"&lt;&gt;")=0,"",INDEX(Elements!$C$9:$C$28,MATCH(C234,Elements!$B$9:$B$28,0))))</f>
        <v/>
      </c>
      <c r="H234" s="8" t="str">
        <f>IF(LEN(C234)=0,"",IF(COUNTIFS(Elements!$B$9:$B$28,C234,Elements!$D$9:$D$28,"&lt;&gt;")=0,"",INDEX(Elements!$D$9:$D$28,MATCH(C234,Elements!$B$9:$B$28,0))))</f>
        <v/>
      </c>
      <c r="I234" s="8" t="str">
        <f t="shared" si="3"/>
        <v/>
      </c>
      <c r="J234" s="7" t="str">
        <f>IF(COUNTA(B234:F234)=0,"",IF(LEN(B234)=0,"Choose segment",IF(COUNTIF(Segments!$B$9:$B$38,B234)=0,"Unknown segment",IF(COUNTIFS(Segments!$B$9:$B$38,B234,Segments!$C$9:$C$38,"&lt;&gt;")=0,"Name segment",IF(LEN(C234)=0,"Choose element",IF(G234="","Name or correct element",IF(LEN(H234)=0,"Enter element weight",IF(NOT(ISNUMBER(H234)),"Numeric weight needed",IF(LEN(D234)=0,"Enter quantity",IF(NOT(ISNUMBER(D234)),"Numeric quantity needed",IF(D234&lt;0,"Quantity below zero","Ready")))))))))))</f>
        <v/>
      </c>
    </row>
    <row r="235" spans="1:10" ht="40" customHeight="1">
      <c r="A235" s="1"/>
      <c r="B235" s="4"/>
      <c r="C235" s="4"/>
      <c r="D235" s="15"/>
      <c r="E235" s="10"/>
      <c r="F235" s="10"/>
      <c r="G235" s="11" t="str">
        <f>IF(LEN(C235)=0,"",IF(COUNTIFS(Elements!$B$9:$B$28,C235,Elements!$C$9:$C$28,"&lt;&gt;")=0,"",INDEX(Elements!$C$9:$C$28,MATCH(C235,Elements!$B$9:$B$28,0))))</f>
        <v/>
      </c>
      <c r="H235" s="8" t="str">
        <f>IF(LEN(C235)=0,"",IF(COUNTIFS(Elements!$B$9:$B$28,C235,Elements!$D$9:$D$28,"&lt;&gt;")=0,"",INDEX(Elements!$D$9:$D$28,MATCH(C235,Elements!$B$9:$B$28,0))))</f>
        <v/>
      </c>
      <c r="I235" s="8" t="str">
        <f t="shared" si="3"/>
        <v/>
      </c>
      <c r="J235" s="7" t="str">
        <f>IF(COUNTA(B235:F235)=0,"",IF(LEN(B235)=0,"Choose segment",IF(COUNTIF(Segments!$B$9:$B$38,B235)=0,"Unknown segment",IF(COUNTIFS(Segments!$B$9:$B$38,B235,Segments!$C$9:$C$38,"&lt;&gt;")=0,"Name segment",IF(LEN(C235)=0,"Choose element",IF(G235="","Name or correct element",IF(LEN(H235)=0,"Enter element weight",IF(NOT(ISNUMBER(H235)),"Numeric weight needed",IF(LEN(D235)=0,"Enter quantity",IF(NOT(ISNUMBER(D235)),"Numeric quantity needed",IF(D235&lt;0,"Quantity below zero","Ready")))))))))))</f>
        <v/>
      </c>
    </row>
    <row r="236" spans="1:10" ht="40" customHeight="1">
      <c r="A236" s="1"/>
      <c r="B236" s="4"/>
      <c r="C236" s="4"/>
      <c r="D236" s="15"/>
      <c r="E236" s="10"/>
      <c r="F236" s="10"/>
      <c r="G236" s="11" t="str">
        <f>IF(LEN(C236)=0,"",IF(COUNTIFS(Elements!$B$9:$B$28,C236,Elements!$C$9:$C$28,"&lt;&gt;")=0,"",INDEX(Elements!$C$9:$C$28,MATCH(C236,Elements!$B$9:$B$28,0))))</f>
        <v/>
      </c>
      <c r="H236" s="8" t="str">
        <f>IF(LEN(C236)=0,"",IF(COUNTIFS(Elements!$B$9:$B$28,C236,Elements!$D$9:$D$28,"&lt;&gt;")=0,"",INDEX(Elements!$D$9:$D$28,MATCH(C236,Elements!$B$9:$B$28,0))))</f>
        <v/>
      </c>
      <c r="I236" s="8" t="str">
        <f t="shared" si="3"/>
        <v/>
      </c>
      <c r="J236" s="7" t="str">
        <f>IF(COUNTA(B236:F236)=0,"",IF(LEN(B236)=0,"Choose segment",IF(COUNTIF(Segments!$B$9:$B$38,B236)=0,"Unknown segment",IF(COUNTIFS(Segments!$B$9:$B$38,B236,Segments!$C$9:$C$38,"&lt;&gt;")=0,"Name segment",IF(LEN(C236)=0,"Choose element",IF(G236="","Name or correct element",IF(LEN(H236)=0,"Enter element weight",IF(NOT(ISNUMBER(H236)),"Numeric weight needed",IF(LEN(D236)=0,"Enter quantity",IF(NOT(ISNUMBER(D236)),"Numeric quantity needed",IF(D236&lt;0,"Quantity below zero","Ready")))))))))))</f>
        <v/>
      </c>
    </row>
    <row r="237" spans="1:10" ht="40" customHeight="1">
      <c r="A237" s="1"/>
      <c r="B237" s="4"/>
      <c r="C237" s="4"/>
      <c r="D237" s="15"/>
      <c r="E237" s="10"/>
      <c r="F237" s="10"/>
      <c r="G237" s="11" t="str">
        <f>IF(LEN(C237)=0,"",IF(COUNTIFS(Elements!$B$9:$B$28,C237,Elements!$C$9:$C$28,"&lt;&gt;")=0,"",INDEX(Elements!$C$9:$C$28,MATCH(C237,Elements!$B$9:$B$28,0))))</f>
        <v/>
      </c>
      <c r="H237" s="8" t="str">
        <f>IF(LEN(C237)=0,"",IF(COUNTIFS(Elements!$B$9:$B$28,C237,Elements!$D$9:$D$28,"&lt;&gt;")=0,"",INDEX(Elements!$D$9:$D$28,MATCH(C237,Elements!$B$9:$B$28,0))))</f>
        <v/>
      </c>
      <c r="I237" s="8" t="str">
        <f t="shared" si="3"/>
        <v/>
      </c>
      <c r="J237" s="7" t="str">
        <f>IF(COUNTA(B237:F237)=0,"",IF(LEN(B237)=0,"Choose segment",IF(COUNTIF(Segments!$B$9:$B$38,B237)=0,"Unknown segment",IF(COUNTIFS(Segments!$B$9:$B$38,B237,Segments!$C$9:$C$38,"&lt;&gt;")=0,"Name segment",IF(LEN(C237)=0,"Choose element",IF(G237="","Name or correct element",IF(LEN(H237)=0,"Enter element weight",IF(NOT(ISNUMBER(H237)),"Numeric weight needed",IF(LEN(D237)=0,"Enter quantity",IF(NOT(ISNUMBER(D237)),"Numeric quantity needed",IF(D237&lt;0,"Quantity below zero","Ready")))))))))))</f>
        <v/>
      </c>
    </row>
    <row r="238" spans="1:10" ht="40" customHeight="1">
      <c r="A238" s="1"/>
      <c r="B238" s="4"/>
      <c r="C238" s="4"/>
      <c r="D238" s="15"/>
      <c r="E238" s="10"/>
      <c r="F238" s="10"/>
      <c r="G238" s="11" t="str">
        <f>IF(LEN(C238)=0,"",IF(COUNTIFS(Elements!$B$9:$B$28,C238,Elements!$C$9:$C$28,"&lt;&gt;")=0,"",INDEX(Elements!$C$9:$C$28,MATCH(C238,Elements!$B$9:$B$28,0))))</f>
        <v/>
      </c>
      <c r="H238" s="8" t="str">
        <f>IF(LEN(C238)=0,"",IF(COUNTIFS(Elements!$B$9:$B$28,C238,Elements!$D$9:$D$28,"&lt;&gt;")=0,"",INDEX(Elements!$D$9:$D$28,MATCH(C238,Elements!$B$9:$B$28,0))))</f>
        <v/>
      </c>
      <c r="I238" s="8" t="str">
        <f t="shared" si="3"/>
        <v/>
      </c>
      <c r="J238" s="7" t="str">
        <f>IF(COUNTA(B238:F238)=0,"",IF(LEN(B238)=0,"Choose segment",IF(COUNTIF(Segments!$B$9:$B$38,B238)=0,"Unknown segment",IF(COUNTIFS(Segments!$B$9:$B$38,B238,Segments!$C$9:$C$38,"&lt;&gt;")=0,"Name segment",IF(LEN(C238)=0,"Choose element",IF(G238="","Name or correct element",IF(LEN(H238)=0,"Enter element weight",IF(NOT(ISNUMBER(H238)),"Numeric weight needed",IF(LEN(D238)=0,"Enter quantity",IF(NOT(ISNUMBER(D238)),"Numeric quantity needed",IF(D238&lt;0,"Quantity below zero","Ready")))))))))))</f>
        <v/>
      </c>
    </row>
    <row r="239" spans="1:10" ht="40" customHeight="1">
      <c r="A239" s="1"/>
      <c r="B239" s="4"/>
      <c r="C239" s="4"/>
      <c r="D239" s="15"/>
      <c r="E239" s="10"/>
      <c r="F239" s="10"/>
      <c r="G239" s="11" t="str">
        <f>IF(LEN(C239)=0,"",IF(COUNTIFS(Elements!$B$9:$B$28,C239,Elements!$C$9:$C$28,"&lt;&gt;")=0,"",INDEX(Elements!$C$9:$C$28,MATCH(C239,Elements!$B$9:$B$28,0))))</f>
        <v/>
      </c>
      <c r="H239" s="8" t="str">
        <f>IF(LEN(C239)=0,"",IF(COUNTIFS(Elements!$B$9:$B$28,C239,Elements!$D$9:$D$28,"&lt;&gt;")=0,"",INDEX(Elements!$D$9:$D$28,MATCH(C239,Elements!$B$9:$B$28,0))))</f>
        <v/>
      </c>
      <c r="I239" s="8" t="str">
        <f t="shared" si="3"/>
        <v/>
      </c>
      <c r="J239" s="7" t="str">
        <f>IF(COUNTA(B239:F239)=0,"",IF(LEN(B239)=0,"Choose segment",IF(COUNTIF(Segments!$B$9:$B$38,B239)=0,"Unknown segment",IF(COUNTIFS(Segments!$B$9:$B$38,B239,Segments!$C$9:$C$38,"&lt;&gt;")=0,"Name segment",IF(LEN(C239)=0,"Choose element",IF(G239="","Name or correct element",IF(LEN(H239)=0,"Enter element weight",IF(NOT(ISNUMBER(H239)),"Numeric weight needed",IF(LEN(D239)=0,"Enter quantity",IF(NOT(ISNUMBER(D239)),"Numeric quantity needed",IF(D239&lt;0,"Quantity below zero","Ready")))))))))))</f>
        <v/>
      </c>
    </row>
    <row r="240" spans="1:10" ht="40" customHeight="1">
      <c r="A240" s="1"/>
      <c r="B240" s="4"/>
      <c r="C240" s="4"/>
      <c r="D240" s="15"/>
      <c r="E240" s="10"/>
      <c r="F240" s="10"/>
      <c r="G240" s="11" t="str">
        <f>IF(LEN(C240)=0,"",IF(COUNTIFS(Elements!$B$9:$B$28,C240,Elements!$C$9:$C$28,"&lt;&gt;")=0,"",INDEX(Elements!$C$9:$C$28,MATCH(C240,Elements!$B$9:$B$28,0))))</f>
        <v/>
      </c>
      <c r="H240" s="8" t="str">
        <f>IF(LEN(C240)=0,"",IF(COUNTIFS(Elements!$B$9:$B$28,C240,Elements!$D$9:$D$28,"&lt;&gt;")=0,"",INDEX(Elements!$D$9:$D$28,MATCH(C240,Elements!$B$9:$B$28,0))))</f>
        <v/>
      </c>
      <c r="I240" s="8" t="str">
        <f t="shared" si="3"/>
        <v/>
      </c>
      <c r="J240" s="7" t="str">
        <f>IF(COUNTA(B240:F240)=0,"",IF(LEN(B240)=0,"Choose segment",IF(COUNTIF(Segments!$B$9:$B$38,B240)=0,"Unknown segment",IF(COUNTIFS(Segments!$B$9:$B$38,B240,Segments!$C$9:$C$38,"&lt;&gt;")=0,"Name segment",IF(LEN(C240)=0,"Choose element",IF(G240="","Name or correct element",IF(LEN(H240)=0,"Enter element weight",IF(NOT(ISNUMBER(H240)),"Numeric weight needed",IF(LEN(D240)=0,"Enter quantity",IF(NOT(ISNUMBER(D240)),"Numeric quantity needed",IF(D240&lt;0,"Quantity below zero","Ready")))))))))))</f>
        <v/>
      </c>
    </row>
    <row r="241" spans="1:10" ht="40" customHeight="1">
      <c r="A241" s="1"/>
      <c r="B241" s="4"/>
      <c r="C241" s="4"/>
      <c r="D241" s="15"/>
      <c r="E241" s="10"/>
      <c r="F241" s="10"/>
      <c r="G241" s="11" t="str">
        <f>IF(LEN(C241)=0,"",IF(COUNTIFS(Elements!$B$9:$B$28,C241,Elements!$C$9:$C$28,"&lt;&gt;")=0,"",INDEX(Elements!$C$9:$C$28,MATCH(C241,Elements!$B$9:$B$28,0))))</f>
        <v/>
      </c>
      <c r="H241" s="8" t="str">
        <f>IF(LEN(C241)=0,"",IF(COUNTIFS(Elements!$B$9:$B$28,C241,Elements!$D$9:$D$28,"&lt;&gt;")=0,"",INDEX(Elements!$D$9:$D$28,MATCH(C241,Elements!$B$9:$B$28,0))))</f>
        <v/>
      </c>
      <c r="I241" s="8" t="str">
        <f t="shared" si="3"/>
        <v/>
      </c>
      <c r="J241" s="7" t="str">
        <f>IF(COUNTA(B241:F241)=0,"",IF(LEN(B241)=0,"Choose segment",IF(COUNTIF(Segments!$B$9:$B$38,B241)=0,"Unknown segment",IF(COUNTIFS(Segments!$B$9:$B$38,B241,Segments!$C$9:$C$38,"&lt;&gt;")=0,"Name segment",IF(LEN(C241)=0,"Choose element",IF(G241="","Name or correct element",IF(LEN(H241)=0,"Enter element weight",IF(NOT(ISNUMBER(H241)),"Numeric weight needed",IF(LEN(D241)=0,"Enter quantity",IF(NOT(ISNUMBER(D241)),"Numeric quantity needed",IF(D241&lt;0,"Quantity below zero","Ready")))))))))))</f>
        <v/>
      </c>
    </row>
    <row r="242" spans="1:10" ht="40" customHeight="1">
      <c r="A242" s="1"/>
      <c r="B242" s="4"/>
      <c r="C242" s="4"/>
      <c r="D242" s="15"/>
      <c r="E242" s="10"/>
      <c r="F242" s="10"/>
      <c r="G242" s="11" t="str">
        <f>IF(LEN(C242)=0,"",IF(COUNTIFS(Elements!$B$9:$B$28,C242,Elements!$C$9:$C$28,"&lt;&gt;")=0,"",INDEX(Elements!$C$9:$C$28,MATCH(C242,Elements!$B$9:$B$28,0))))</f>
        <v/>
      </c>
      <c r="H242" s="8" t="str">
        <f>IF(LEN(C242)=0,"",IF(COUNTIFS(Elements!$B$9:$B$28,C242,Elements!$D$9:$D$28,"&lt;&gt;")=0,"",INDEX(Elements!$D$9:$D$28,MATCH(C242,Elements!$B$9:$B$28,0))))</f>
        <v/>
      </c>
      <c r="I242" s="8" t="str">
        <f t="shared" si="3"/>
        <v/>
      </c>
      <c r="J242" s="7" t="str">
        <f>IF(COUNTA(B242:F242)=0,"",IF(LEN(B242)=0,"Choose segment",IF(COUNTIF(Segments!$B$9:$B$38,B242)=0,"Unknown segment",IF(COUNTIFS(Segments!$B$9:$B$38,B242,Segments!$C$9:$C$38,"&lt;&gt;")=0,"Name segment",IF(LEN(C242)=0,"Choose element",IF(G242="","Name or correct element",IF(LEN(H242)=0,"Enter element weight",IF(NOT(ISNUMBER(H242)),"Numeric weight needed",IF(LEN(D242)=0,"Enter quantity",IF(NOT(ISNUMBER(D242)),"Numeric quantity needed",IF(D242&lt;0,"Quantity below zero","Ready")))))))))))</f>
        <v/>
      </c>
    </row>
    <row r="243" spans="1:10" ht="40" customHeight="1">
      <c r="A243" s="1"/>
      <c r="B243" s="4"/>
      <c r="C243" s="4"/>
      <c r="D243" s="15"/>
      <c r="E243" s="10"/>
      <c r="F243" s="10"/>
      <c r="G243" s="11" t="str">
        <f>IF(LEN(C243)=0,"",IF(COUNTIFS(Elements!$B$9:$B$28,C243,Elements!$C$9:$C$28,"&lt;&gt;")=0,"",INDEX(Elements!$C$9:$C$28,MATCH(C243,Elements!$B$9:$B$28,0))))</f>
        <v/>
      </c>
      <c r="H243" s="8" t="str">
        <f>IF(LEN(C243)=0,"",IF(COUNTIFS(Elements!$B$9:$B$28,C243,Elements!$D$9:$D$28,"&lt;&gt;")=0,"",INDEX(Elements!$D$9:$D$28,MATCH(C243,Elements!$B$9:$B$28,0))))</f>
        <v/>
      </c>
      <c r="I243" s="8" t="str">
        <f t="shared" si="3"/>
        <v/>
      </c>
      <c r="J243" s="7" t="str">
        <f>IF(COUNTA(B243:F243)=0,"",IF(LEN(B243)=0,"Choose segment",IF(COUNTIF(Segments!$B$9:$B$38,B243)=0,"Unknown segment",IF(COUNTIFS(Segments!$B$9:$B$38,B243,Segments!$C$9:$C$38,"&lt;&gt;")=0,"Name segment",IF(LEN(C243)=0,"Choose element",IF(G243="","Name or correct element",IF(LEN(H243)=0,"Enter element weight",IF(NOT(ISNUMBER(H243)),"Numeric weight needed",IF(LEN(D243)=0,"Enter quantity",IF(NOT(ISNUMBER(D243)),"Numeric quantity needed",IF(D243&lt;0,"Quantity below zero","Ready")))))))))))</f>
        <v/>
      </c>
    </row>
    <row r="244" spans="1:10" ht="40" customHeight="1">
      <c r="A244" s="1"/>
      <c r="B244" s="4"/>
      <c r="C244" s="4"/>
      <c r="D244" s="15"/>
      <c r="E244" s="10"/>
      <c r="F244" s="10"/>
      <c r="G244" s="11" t="str">
        <f>IF(LEN(C244)=0,"",IF(COUNTIFS(Elements!$B$9:$B$28,C244,Elements!$C$9:$C$28,"&lt;&gt;")=0,"",INDEX(Elements!$C$9:$C$28,MATCH(C244,Elements!$B$9:$B$28,0))))</f>
        <v/>
      </c>
      <c r="H244" s="8" t="str">
        <f>IF(LEN(C244)=0,"",IF(COUNTIFS(Elements!$B$9:$B$28,C244,Elements!$D$9:$D$28,"&lt;&gt;")=0,"",INDEX(Elements!$D$9:$D$28,MATCH(C244,Elements!$B$9:$B$28,0))))</f>
        <v/>
      </c>
      <c r="I244" s="8" t="str">
        <f t="shared" si="3"/>
        <v/>
      </c>
      <c r="J244" s="7" t="str">
        <f>IF(COUNTA(B244:F244)=0,"",IF(LEN(B244)=0,"Choose segment",IF(COUNTIF(Segments!$B$9:$B$38,B244)=0,"Unknown segment",IF(COUNTIFS(Segments!$B$9:$B$38,B244,Segments!$C$9:$C$38,"&lt;&gt;")=0,"Name segment",IF(LEN(C244)=0,"Choose element",IF(G244="","Name or correct element",IF(LEN(H244)=0,"Enter element weight",IF(NOT(ISNUMBER(H244)),"Numeric weight needed",IF(LEN(D244)=0,"Enter quantity",IF(NOT(ISNUMBER(D244)),"Numeric quantity needed",IF(D244&lt;0,"Quantity below zero","Ready")))))))))))</f>
        <v/>
      </c>
    </row>
    <row r="245" spans="1:10" ht="40" customHeight="1">
      <c r="A245" s="1"/>
      <c r="B245" s="4"/>
      <c r="C245" s="4"/>
      <c r="D245" s="15"/>
      <c r="E245" s="10"/>
      <c r="F245" s="10"/>
      <c r="G245" s="11" t="str">
        <f>IF(LEN(C245)=0,"",IF(COUNTIFS(Elements!$B$9:$B$28,C245,Elements!$C$9:$C$28,"&lt;&gt;")=0,"",INDEX(Elements!$C$9:$C$28,MATCH(C245,Elements!$B$9:$B$28,0))))</f>
        <v/>
      </c>
      <c r="H245" s="8" t="str">
        <f>IF(LEN(C245)=0,"",IF(COUNTIFS(Elements!$B$9:$B$28,C245,Elements!$D$9:$D$28,"&lt;&gt;")=0,"",INDEX(Elements!$D$9:$D$28,MATCH(C245,Elements!$B$9:$B$28,0))))</f>
        <v/>
      </c>
      <c r="I245" s="8" t="str">
        <f t="shared" si="3"/>
        <v/>
      </c>
      <c r="J245" s="7" t="str">
        <f>IF(COUNTA(B245:F245)=0,"",IF(LEN(B245)=0,"Choose segment",IF(COUNTIF(Segments!$B$9:$B$38,B245)=0,"Unknown segment",IF(COUNTIFS(Segments!$B$9:$B$38,B245,Segments!$C$9:$C$38,"&lt;&gt;")=0,"Name segment",IF(LEN(C245)=0,"Choose element",IF(G245="","Name or correct element",IF(LEN(H245)=0,"Enter element weight",IF(NOT(ISNUMBER(H245)),"Numeric weight needed",IF(LEN(D245)=0,"Enter quantity",IF(NOT(ISNUMBER(D245)),"Numeric quantity needed",IF(D245&lt;0,"Quantity below zero","Ready")))))))))))</f>
        <v/>
      </c>
    </row>
    <row r="246" spans="1:10" ht="40" customHeight="1">
      <c r="A246" s="1"/>
      <c r="B246" s="4"/>
      <c r="C246" s="4"/>
      <c r="D246" s="15"/>
      <c r="E246" s="10"/>
      <c r="F246" s="10"/>
      <c r="G246" s="11" t="str">
        <f>IF(LEN(C246)=0,"",IF(COUNTIFS(Elements!$B$9:$B$28,C246,Elements!$C$9:$C$28,"&lt;&gt;")=0,"",INDEX(Elements!$C$9:$C$28,MATCH(C246,Elements!$B$9:$B$28,0))))</f>
        <v/>
      </c>
      <c r="H246" s="8" t="str">
        <f>IF(LEN(C246)=0,"",IF(COUNTIFS(Elements!$B$9:$B$28,C246,Elements!$D$9:$D$28,"&lt;&gt;")=0,"",INDEX(Elements!$D$9:$D$28,MATCH(C246,Elements!$B$9:$B$28,0))))</f>
        <v/>
      </c>
      <c r="I246" s="8" t="str">
        <f t="shared" si="3"/>
        <v/>
      </c>
      <c r="J246" s="7" t="str">
        <f>IF(COUNTA(B246:F246)=0,"",IF(LEN(B246)=0,"Choose segment",IF(COUNTIF(Segments!$B$9:$B$38,B246)=0,"Unknown segment",IF(COUNTIFS(Segments!$B$9:$B$38,B246,Segments!$C$9:$C$38,"&lt;&gt;")=0,"Name segment",IF(LEN(C246)=0,"Choose element",IF(G246="","Name or correct element",IF(LEN(H246)=0,"Enter element weight",IF(NOT(ISNUMBER(H246)),"Numeric weight needed",IF(LEN(D246)=0,"Enter quantity",IF(NOT(ISNUMBER(D246)),"Numeric quantity needed",IF(D246&lt;0,"Quantity below zero","Ready")))))))))))</f>
        <v/>
      </c>
    </row>
    <row r="247" spans="1:10" ht="40" customHeight="1">
      <c r="A247" s="1"/>
      <c r="B247" s="4"/>
      <c r="C247" s="4"/>
      <c r="D247" s="15"/>
      <c r="E247" s="10"/>
      <c r="F247" s="10"/>
      <c r="G247" s="11" t="str">
        <f>IF(LEN(C247)=0,"",IF(COUNTIFS(Elements!$B$9:$B$28,C247,Elements!$C$9:$C$28,"&lt;&gt;")=0,"",INDEX(Elements!$C$9:$C$28,MATCH(C247,Elements!$B$9:$B$28,0))))</f>
        <v/>
      </c>
      <c r="H247" s="8" t="str">
        <f>IF(LEN(C247)=0,"",IF(COUNTIFS(Elements!$B$9:$B$28,C247,Elements!$D$9:$D$28,"&lt;&gt;")=0,"",INDEX(Elements!$D$9:$D$28,MATCH(C247,Elements!$B$9:$B$28,0))))</f>
        <v/>
      </c>
      <c r="I247" s="8" t="str">
        <f t="shared" si="3"/>
        <v/>
      </c>
      <c r="J247" s="7" t="str">
        <f>IF(COUNTA(B247:F247)=0,"",IF(LEN(B247)=0,"Choose segment",IF(COUNTIF(Segments!$B$9:$B$38,B247)=0,"Unknown segment",IF(COUNTIFS(Segments!$B$9:$B$38,B247,Segments!$C$9:$C$38,"&lt;&gt;")=0,"Name segment",IF(LEN(C247)=0,"Choose element",IF(G247="","Name or correct element",IF(LEN(H247)=0,"Enter element weight",IF(NOT(ISNUMBER(H247)),"Numeric weight needed",IF(LEN(D247)=0,"Enter quantity",IF(NOT(ISNUMBER(D247)),"Numeric quantity needed",IF(D247&lt;0,"Quantity below zero","Ready")))))))))))</f>
        <v/>
      </c>
    </row>
    <row r="248" spans="1:10" ht="40" customHeight="1">
      <c r="A248" s="1"/>
      <c r="B248" s="4"/>
      <c r="C248" s="4"/>
      <c r="D248" s="15"/>
      <c r="E248" s="10"/>
      <c r="F248" s="10"/>
      <c r="G248" s="11" t="str">
        <f>IF(LEN(C248)=0,"",IF(COUNTIFS(Elements!$B$9:$B$28,C248,Elements!$C$9:$C$28,"&lt;&gt;")=0,"",INDEX(Elements!$C$9:$C$28,MATCH(C248,Elements!$B$9:$B$28,0))))</f>
        <v/>
      </c>
      <c r="H248" s="8" t="str">
        <f>IF(LEN(C248)=0,"",IF(COUNTIFS(Elements!$B$9:$B$28,C248,Elements!$D$9:$D$28,"&lt;&gt;")=0,"",INDEX(Elements!$D$9:$D$28,MATCH(C248,Elements!$B$9:$B$28,0))))</f>
        <v/>
      </c>
      <c r="I248" s="8" t="str">
        <f t="shared" si="3"/>
        <v/>
      </c>
      <c r="J248" s="7" t="str">
        <f>IF(COUNTA(B248:F248)=0,"",IF(LEN(B248)=0,"Choose segment",IF(COUNTIF(Segments!$B$9:$B$38,B248)=0,"Unknown segment",IF(COUNTIFS(Segments!$B$9:$B$38,B248,Segments!$C$9:$C$38,"&lt;&gt;")=0,"Name segment",IF(LEN(C248)=0,"Choose element",IF(G248="","Name or correct element",IF(LEN(H248)=0,"Enter element weight",IF(NOT(ISNUMBER(H248)),"Numeric weight needed",IF(LEN(D248)=0,"Enter quantity",IF(NOT(ISNUMBER(D248)),"Numeric quantity needed",IF(D248&lt;0,"Quantity below zero","Ready")))))))))))</f>
        <v/>
      </c>
    </row>
    <row r="249" spans="1:10" ht="40" customHeight="1">
      <c r="A249" s="1"/>
      <c r="B249" s="4"/>
      <c r="C249" s="4"/>
      <c r="D249" s="15"/>
      <c r="E249" s="10"/>
      <c r="F249" s="10"/>
      <c r="G249" s="11" t="str">
        <f>IF(LEN(C249)=0,"",IF(COUNTIFS(Elements!$B$9:$B$28,C249,Elements!$C$9:$C$28,"&lt;&gt;")=0,"",INDEX(Elements!$C$9:$C$28,MATCH(C249,Elements!$B$9:$B$28,0))))</f>
        <v/>
      </c>
      <c r="H249" s="8" t="str">
        <f>IF(LEN(C249)=0,"",IF(COUNTIFS(Elements!$B$9:$B$28,C249,Elements!$D$9:$D$28,"&lt;&gt;")=0,"",INDEX(Elements!$D$9:$D$28,MATCH(C249,Elements!$B$9:$B$28,0))))</f>
        <v/>
      </c>
      <c r="I249" s="8" t="str">
        <f t="shared" si="3"/>
        <v/>
      </c>
      <c r="J249" s="7" t="str">
        <f>IF(COUNTA(B249:F249)=0,"",IF(LEN(B249)=0,"Choose segment",IF(COUNTIF(Segments!$B$9:$B$38,B249)=0,"Unknown segment",IF(COUNTIFS(Segments!$B$9:$B$38,B249,Segments!$C$9:$C$38,"&lt;&gt;")=0,"Name segment",IF(LEN(C249)=0,"Choose element",IF(G249="","Name or correct element",IF(LEN(H249)=0,"Enter element weight",IF(NOT(ISNUMBER(H249)),"Numeric weight needed",IF(LEN(D249)=0,"Enter quantity",IF(NOT(ISNUMBER(D249)),"Numeric quantity needed",IF(D249&lt;0,"Quantity below zero","Ready")))))))))))</f>
        <v/>
      </c>
    </row>
    <row r="250" spans="1:10" ht="40" customHeight="1">
      <c r="A250" s="1"/>
      <c r="B250" s="4"/>
      <c r="C250" s="4"/>
      <c r="D250" s="15"/>
      <c r="E250" s="10"/>
      <c r="F250" s="10"/>
      <c r="G250" s="11" t="str">
        <f>IF(LEN(C250)=0,"",IF(COUNTIFS(Elements!$B$9:$B$28,C250,Elements!$C$9:$C$28,"&lt;&gt;")=0,"",INDEX(Elements!$C$9:$C$28,MATCH(C250,Elements!$B$9:$B$28,0))))</f>
        <v/>
      </c>
      <c r="H250" s="8" t="str">
        <f>IF(LEN(C250)=0,"",IF(COUNTIFS(Elements!$B$9:$B$28,C250,Elements!$D$9:$D$28,"&lt;&gt;")=0,"",INDEX(Elements!$D$9:$D$28,MATCH(C250,Elements!$B$9:$B$28,0))))</f>
        <v/>
      </c>
      <c r="I250" s="8" t="str">
        <f t="shared" si="3"/>
        <v/>
      </c>
      <c r="J250" s="7" t="str">
        <f>IF(COUNTA(B250:F250)=0,"",IF(LEN(B250)=0,"Choose segment",IF(COUNTIF(Segments!$B$9:$B$38,B250)=0,"Unknown segment",IF(COUNTIFS(Segments!$B$9:$B$38,B250,Segments!$C$9:$C$38,"&lt;&gt;")=0,"Name segment",IF(LEN(C250)=0,"Choose element",IF(G250="","Name or correct element",IF(LEN(H250)=0,"Enter element weight",IF(NOT(ISNUMBER(H250)),"Numeric weight needed",IF(LEN(D250)=0,"Enter quantity",IF(NOT(ISNUMBER(D250)),"Numeric quantity needed",IF(D250&lt;0,"Quantity below zero","Ready")))))))))))</f>
        <v/>
      </c>
    </row>
    <row r="251" spans="1:10" ht="40" customHeight="1">
      <c r="A251" s="1"/>
      <c r="B251" s="4"/>
      <c r="C251" s="4"/>
      <c r="D251" s="15"/>
      <c r="E251" s="10"/>
      <c r="F251" s="10"/>
      <c r="G251" s="11" t="str">
        <f>IF(LEN(C251)=0,"",IF(COUNTIFS(Elements!$B$9:$B$28,C251,Elements!$C$9:$C$28,"&lt;&gt;")=0,"",INDEX(Elements!$C$9:$C$28,MATCH(C251,Elements!$B$9:$B$28,0))))</f>
        <v/>
      </c>
      <c r="H251" s="8" t="str">
        <f>IF(LEN(C251)=0,"",IF(COUNTIFS(Elements!$B$9:$B$28,C251,Elements!$D$9:$D$28,"&lt;&gt;")=0,"",INDEX(Elements!$D$9:$D$28,MATCH(C251,Elements!$B$9:$B$28,0))))</f>
        <v/>
      </c>
      <c r="I251" s="8" t="str">
        <f t="shared" si="3"/>
        <v/>
      </c>
      <c r="J251" s="7" t="str">
        <f>IF(COUNTA(B251:F251)=0,"",IF(LEN(B251)=0,"Choose segment",IF(COUNTIF(Segments!$B$9:$B$38,B251)=0,"Unknown segment",IF(COUNTIFS(Segments!$B$9:$B$38,B251,Segments!$C$9:$C$38,"&lt;&gt;")=0,"Name segment",IF(LEN(C251)=0,"Choose element",IF(G251="","Name or correct element",IF(LEN(H251)=0,"Enter element weight",IF(NOT(ISNUMBER(H251)),"Numeric weight needed",IF(LEN(D251)=0,"Enter quantity",IF(NOT(ISNUMBER(D251)),"Numeric quantity needed",IF(D251&lt;0,"Quantity below zero","Ready")))))))))))</f>
        <v/>
      </c>
    </row>
    <row r="252" spans="1:10" ht="40" customHeight="1">
      <c r="A252" s="1"/>
      <c r="B252" s="4"/>
      <c r="C252" s="4"/>
      <c r="D252" s="15"/>
      <c r="E252" s="10"/>
      <c r="F252" s="10"/>
      <c r="G252" s="11" t="str">
        <f>IF(LEN(C252)=0,"",IF(COUNTIFS(Elements!$B$9:$B$28,C252,Elements!$C$9:$C$28,"&lt;&gt;")=0,"",INDEX(Elements!$C$9:$C$28,MATCH(C252,Elements!$B$9:$B$28,0))))</f>
        <v/>
      </c>
      <c r="H252" s="8" t="str">
        <f>IF(LEN(C252)=0,"",IF(COUNTIFS(Elements!$B$9:$B$28,C252,Elements!$D$9:$D$28,"&lt;&gt;")=0,"",INDEX(Elements!$D$9:$D$28,MATCH(C252,Elements!$B$9:$B$28,0))))</f>
        <v/>
      </c>
      <c r="I252" s="8" t="str">
        <f t="shared" si="3"/>
        <v/>
      </c>
      <c r="J252" s="7" t="str">
        <f>IF(COUNTA(B252:F252)=0,"",IF(LEN(B252)=0,"Choose segment",IF(COUNTIF(Segments!$B$9:$B$38,B252)=0,"Unknown segment",IF(COUNTIFS(Segments!$B$9:$B$38,B252,Segments!$C$9:$C$38,"&lt;&gt;")=0,"Name segment",IF(LEN(C252)=0,"Choose element",IF(G252="","Name or correct element",IF(LEN(H252)=0,"Enter element weight",IF(NOT(ISNUMBER(H252)),"Numeric weight needed",IF(LEN(D252)=0,"Enter quantity",IF(NOT(ISNUMBER(D252)),"Numeric quantity needed",IF(D252&lt;0,"Quantity below zero","Ready")))))))))))</f>
        <v/>
      </c>
    </row>
    <row r="253" spans="1:10" ht="40" customHeight="1">
      <c r="A253" s="1"/>
      <c r="B253" s="4"/>
      <c r="C253" s="4"/>
      <c r="D253" s="15"/>
      <c r="E253" s="10"/>
      <c r="F253" s="10"/>
      <c r="G253" s="11" t="str">
        <f>IF(LEN(C253)=0,"",IF(COUNTIFS(Elements!$B$9:$B$28,C253,Elements!$C$9:$C$28,"&lt;&gt;")=0,"",INDEX(Elements!$C$9:$C$28,MATCH(C253,Elements!$B$9:$B$28,0))))</f>
        <v/>
      </c>
      <c r="H253" s="8" t="str">
        <f>IF(LEN(C253)=0,"",IF(COUNTIFS(Elements!$B$9:$B$28,C253,Elements!$D$9:$D$28,"&lt;&gt;")=0,"",INDEX(Elements!$D$9:$D$28,MATCH(C253,Elements!$B$9:$B$28,0))))</f>
        <v/>
      </c>
      <c r="I253" s="8" t="str">
        <f t="shared" si="3"/>
        <v/>
      </c>
      <c r="J253" s="7" t="str">
        <f>IF(COUNTA(B253:F253)=0,"",IF(LEN(B253)=0,"Choose segment",IF(COUNTIF(Segments!$B$9:$B$38,B253)=0,"Unknown segment",IF(COUNTIFS(Segments!$B$9:$B$38,B253,Segments!$C$9:$C$38,"&lt;&gt;")=0,"Name segment",IF(LEN(C253)=0,"Choose element",IF(G253="","Name or correct element",IF(LEN(H253)=0,"Enter element weight",IF(NOT(ISNUMBER(H253)),"Numeric weight needed",IF(LEN(D253)=0,"Enter quantity",IF(NOT(ISNUMBER(D253)),"Numeric quantity needed",IF(D253&lt;0,"Quantity below zero","Ready")))))))))))</f>
        <v/>
      </c>
    </row>
    <row r="254" spans="1:10" ht="40" customHeight="1">
      <c r="A254" s="1"/>
      <c r="B254" s="4"/>
      <c r="C254" s="4"/>
      <c r="D254" s="15"/>
      <c r="E254" s="10"/>
      <c r="F254" s="10"/>
      <c r="G254" s="11" t="str">
        <f>IF(LEN(C254)=0,"",IF(COUNTIFS(Elements!$B$9:$B$28,C254,Elements!$C$9:$C$28,"&lt;&gt;")=0,"",INDEX(Elements!$C$9:$C$28,MATCH(C254,Elements!$B$9:$B$28,0))))</f>
        <v/>
      </c>
      <c r="H254" s="8" t="str">
        <f>IF(LEN(C254)=0,"",IF(COUNTIFS(Elements!$B$9:$B$28,C254,Elements!$D$9:$D$28,"&lt;&gt;")=0,"",INDEX(Elements!$D$9:$D$28,MATCH(C254,Elements!$B$9:$B$28,0))))</f>
        <v/>
      </c>
      <c r="I254" s="8" t="str">
        <f t="shared" si="3"/>
        <v/>
      </c>
      <c r="J254" s="7" t="str">
        <f>IF(COUNTA(B254:F254)=0,"",IF(LEN(B254)=0,"Choose segment",IF(COUNTIF(Segments!$B$9:$B$38,B254)=0,"Unknown segment",IF(COUNTIFS(Segments!$B$9:$B$38,B254,Segments!$C$9:$C$38,"&lt;&gt;")=0,"Name segment",IF(LEN(C254)=0,"Choose element",IF(G254="","Name or correct element",IF(LEN(H254)=0,"Enter element weight",IF(NOT(ISNUMBER(H254)),"Numeric weight needed",IF(LEN(D254)=0,"Enter quantity",IF(NOT(ISNUMBER(D254)),"Numeric quantity needed",IF(D254&lt;0,"Quantity below zero","Ready")))))))))))</f>
        <v/>
      </c>
    </row>
    <row r="255" spans="1:10" ht="40" customHeight="1">
      <c r="A255" s="1"/>
      <c r="B255" s="4"/>
      <c r="C255" s="4"/>
      <c r="D255" s="15"/>
      <c r="E255" s="10"/>
      <c r="F255" s="10"/>
      <c r="G255" s="11" t="str">
        <f>IF(LEN(C255)=0,"",IF(COUNTIFS(Elements!$B$9:$B$28,C255,Elements!$C$9:$C$28,"&lt;&gt;")=0,"",INDEX(Elements!$C$9:$C$28,MATCH(C255,Elements!$B$9:$B$28,0))))</f>
        <v/>
      </c>
      <c r="H255" s="8" t="str">
        <f>IF(LEN(C255)=0,"",IF(COUNTIFS(Elements!$B$9:$B$28,C255,Elements!$D$9:$D$28,"&lt;&gt;")=0,"",INDEX(Elements!$D$9:$D$28,MATCH(C255,Elements!$B$9:$B$28,0))))</f>
        <v/>
      </c>
      <c r="I255" s="8" t="str">
        <f t="shared" si="3"/>
        <v/>
      </c>
      <c r="J255" s="7" t="str">
        <f>IF(COUNTA(B255:F255)=0,"",IF(LEN(B255)=0,"Choose segment",IF(COUNTIF(Segments!$B$9:$B$38,B255)=0,"Unknown segment",IF(COUNTIFS(Segments!$B$9:$B$38,B255,Segments!$C$9:$C$38,"&lt;&gt;")=0,"Name segment",IF(LEN(C255)=0,"Choose element",IF(G255="","Name or correct element",IF(LEN(H255)=0,"Enter element weight",IF(NOT(ISNUMBER(H255)),"Numeric weight needed",IF(LEN(D255)=0,"Enter quantity",IF(NOT(ISNUMBER(D255)),"Numeric quantity needed",IF(D255&lt;0,"Quantity below zero","Ready")))))))))))</f>
        <v/>
      </c>
    </row>
    <row r="256" spans="1:10" ht="40" customHeight="1">
      <c r="A256" s="1"/>
      <c r="B256" s="4"/>
      <c r="C256" s="4"/>
      <c r="D256" s="15"/>
      <c r="E256" s="10"/>
      <c r="F256" s="10"/>
      <c r="G256" s="11" t="str">
        <f>IF(LEN(C256)=0,"",IF(COUNTIFS(Elements!$B$9:$B$28,C256,Elements!$C$9:$C$28,"&lt;&gt;")=0,"",INDEX(Elements!$C$9:$C$28,MATCH(C256,Elements!$B$9:$B$28,0))))</f>
        <v/>
      </c>
      <c r="H256" s="8" t="str">
        <f>IF(LEN(C256)=0,"",IF(COUNTIFS(Elements!$B$9:$B$28,C256,Elements!$D$9:$D$28,"&lt;&gt;")=0,"",INDEX(Elements!$D$9:$D$28,MATCH(C256,Elements!$B$9:$B$28,0))))</f>
        <v/>
      </c>
      <c r="I256" s="8" t="str">
        <f t="shared" si="3"/>
        <v/>
      </c>
      <c r="J256" s="7" t="str">
        <f>IF(COUNTA(B256:F256)=0,"",IF(LEN(B256)=0,"Choose segment",IF(COUNTIF(Segments!$B$9:$B$38,B256)=0,"Unknown segment",IF(COUNTIFS(Segments!$B$9:$B$38,B256,Segments!$C$9:$C$38,"&lt;&gt;")=0,"Name segment",IF(LEN(C256)=0,"Choose element",IF(G256="","Name or correct element",IF(LEN(H256)=0,"Enter element weight",IF(NOT(ISNUMBER(H256)),"Numeric weight needed",IF(LEN(D256)=0,"Enter quantity",IF(NOT(ISNUMBER(D256)),"Numeric quantity needed",IF(D256&lt;0,"Quantity below zero","Ready")))))))))))</f>
        <v/>
      </c>
    </row>
    <row r="257" spans="1:10" ht="40" customHeight="1">
      <c r="A257" s="1"/>
      <c r="B257" s="4"/>
      <c r="C257" s="4"/>
      <c r="D257" s="15"/>
      <c r="E257" s="10"/>
      <c r="F257" s="10"/>
      <c r="G257" s="11" t="str">
        <f>IF(LEN(C257)=0,"",IF(COUNTIFS(Elements!$B$9:$B$28,C257,Elements!$C$9:$C$28,"&lt;&gt;")=0,"",INDEX(Elements!$C$9:$C$28,MATCH(C257,Elements!$B$9:$B$28,0))))</f>
        <v/>
      </c>
      <c r="H257" s="8" t="str">
        <f>IF(LEN(C257)=0,"",IF(COUNTIFS(Elements!$B$9:$B$28,C257,Elements!$D$9:$D$28,"&lt;&gt;")=0,"",INDEX(Elements!$D$9:$D$28,MATCH(C257,Elements!$B$9:$B$28,0))))</f>
        <v/>
      </c>
      <c r="I257" s="8" t="str">
        <f t="shared" si="3"/>
        <v/>
      </c>
      <c r="J257" s="7" t="str">
        <f>IF(COUNTA(B257:F257)=0,"",IF(LEN(B257)=0,"Choose segment",IF(COUNTIF(Segments!$B$9:$B$38,B257)=0,"Unknown segment",IF(COUNTIFS(Segments!$B$9:$B$38,B257,Segments!$C$9:$C$38,"&lt;&gt;")=0,"Name segment",IF(LEN(C257)=0,"Choose element",IF(G257="","Name or correct element",IF(LEN(H257)=0,"Enter element weight",IF(NOT(ISNUMBER(H257)),"Numeric weight needed",IF(LEN(D257)=0,"Enter quantity",IF(NOT(ISNUMBER(D257)),"Numeric quantity needed",IF(D257&lt;0,"Quantity below zero","Ready")))))))))))</f>
        <v/>
      </c>
    </row>
    <row r="258" spans="1:10" ht="40" customHeight="1">
      <c r="A258" s="1"/>
      <c r="B258" s="4"/>
      <c r="C258" s="4"/>
      <c r="D258" s="15"/>
      <c r="E258" s="10"/>
      <c r="F258" s="10"/>
      <c r="G258" s="11" t="str">
        <f>IF(LEN(C258)=0,"",IF(COUNTIFS(Elements!$B$9:$B$28,C258,Elements!$C$9:$C$28,"&lt;&gt;")=0,"",INDEX(Elements!$C$9:$C$28,MATCH(C258,Elements!$B$9:$B$28,0))))</f>
        <v/>
      </c>
      <c r="H258" s="8" t="str">
        <f>IF(LEN(C258)=0,"",IF(COUNTIFS(Elements!$B$9:$B$28,C258,Elements!$D$9:$D$28,"&lt;&gt;")=0,"",INDEX(Elements!$D$9:$D$28,MATCH(C258,Elements!$B$9:$B$28,0))))</f>
        <v/>
      </c>
      <c r="I258" s="8" t="str">
        <f t="shared" si="3"/>
        <v/>
      </c>
      <c r="J258" s="7" t="str">
        <f>IF(COUNTA(B258:F258)=0,"",IF(LEN(B258)=0,"Choose segment",IF(COUNTIF(Segments!$B$9:$B$38,B258)=0,"Unknown segment",IF(COUNTIFS(Segments!$B$9:$B$38,B258,Segments!$C$9:$C$38,"&lt;&gt;")=0,"Name segment",IF(LEN(C258)=0,"Choose element",IF(G258="","Name or correct element",IF(LEN(H258)=0,"Enter element weight",IF(NOT(ISNUMBER(H258)),"Numeric weight needed",IF(LEN(D258)=0,"Enter quantity",IF(NOT(ISNUMBER(D258)),"Numeric quantity needed",IF(D258&lt;0,"Quantity below zero","Ready")))))))))))</f>
        <v/>
      </c>
    </row>
    <row r="259" spans="1:10" ht="40" customHeight="1">
      <c r="A259" s="1"/>
      <c r="B259" s="4"/>
      <c r="C259" s="4"/>
      <c r="D259" s="15"/>
      <c r="E259" s="10"/>
      <c r="F259" s="10"/>
      <c r="G259" s="11" t="str">
        <f>IF(LEN(C259)=0,"",IF(COUNTIFS(Elements!$B$9:$B$28,C259,Elements!$C$9:$C$28,"&lt;&gt;")=0,"",INDEX(Elements!$C$9:$C$28,MATCH(C259,Elements!$B$9:$B$28,0))))</f>
        <v/>
      </c>
      <c r="H259" s="8" t="str">
        <f>IF(LEN(C259)=0,"",IF(COUNTIFS(Elements!$B$9:$B$28,C259,Elements!$D$9:$D$28,"&lt;&gt;")=0,"",INDEX(Elements!$D$9:$D$28,MATCH(C259,Elements!$B$9:$B$28,0))))</f>
        <v/>
      </c>
      <c r="I259" s="8" t="str">
        <f t="shared" si="3"/>
        <v/>
      </c>
      <c r="J259" s="7" t="str">
        <f>IF(COUNTA(B259:F259)=0,"",IF(LEN(B259)=0,"Choose segment",IF(COUNTIF(Segments!$B$9:$B$38,B259)=0,"Unknown segment",IF(COUNTIFS(Segments!$B$9:$B$38,B259,Segments!$C$9:$C$38,"&lt;&gt;")=0,"Name segment",IF(LEN(C259)=0,"Choose element",IF(G259="","Name or correct element",IF(LEN(H259)=0,"Enter element weight",IF(NOT(ISNUMBER(H259)),"Numeric weight needed",IF(LEN(D259)=0,"Enter quantity",IF(NOT(ISNUMBER(D259)),"Numeric quantity needed",IF(D259&lt;0,"Quantity below zero","Ready")))))))))))</f>
        <v/>
      </c>
    </row>
    <row r="260" spans="1:10" ht="40" customHeight="1">
      <c r="A260" s="1"/>
      <c r="B260" s="4"/>
      <c r="C260" s="4"/>
      <c r="D260" s="15"/>
      <c r="E260" s="10"/>
      <c r="F260" s="10"/>
      <c r="G260" s="11" t="str">
        <f>IF(LEN(C260)=0,"",IF(COUNTIFS(Elements!$B$9:$B$28,C260,Elements!$C$9:$C$28,"&lt;&gt;")=0,"",INDEX(Elements!$C$9:$C$28,MATCH(C260,Elements!$B$9:$B$28,0))))</f>
        <v/>
      </c>
      <c r="H260" s="8" t="str">
        <f>IF(LEN(C260)=0,"",IF(COUNTIFS(Elements!$B$9:$B$28,C260,Elements!$D$9:$D$28,"&lt;&gt;")=0,"",INDEX(Elements!$D$9:$D$28,MATCH(C260,Elements!$B$9:$B$28,0))))</f>
        <v/>
      </c>
      <c r="I260" s="8" t="str">
        <f t="shared" si="3"/>
        <v/>
      </c>
      <c r="J260" s="7" t="str">
        <f>IF(COUNTA(B260:F260)=0,"",IF(LEN(B260)=0,"Choose segment",IF(COUNTIF(Segments!$B$9:$B$38,B260)=0,"Unknown segment",IF(COUNTIFS(Segments!$B$9:$B$38,B260,Segments!$C$9:$C$38,"&lt;&gt;")=0,"Name segment",IF(LEN(C260)=0,"Choose element",IF(G260="","Name or correct element",IF(LEN(H260)=0,"Enter element weight",IF(NOT(ISNUMBER(H260)),"Numeric weight needed",IF(LEN(D260)=0,"Enter quantity",IF(NOT(ISNUMBER(D260)),"Numeric quantity needed",IF(D260&lt;0,"Quantity below zero","Ready")))))))))))</f>
        <v/>
      </c>
    </row>
    <row r="261" spans="1:10" ht="40" customHeight="1">
      <c r="A261" s="1"/>
      <c r="B261" s="4"/>
      <c r="C261" s="4"/>
      <c r="D261" s="15"/>
      <c r="E261" s="10"/>
      <c r="F261" s="10"/>
      <c r="G261" s="11" t="str">
        <f>IF(LEN(C261)=0,"",IF(COUNTIFS(Elements!$B$9:$B$28,C261,Elements!$C$9:$C$28,"&lt;&gt;")=0,"",INDEX(Elements!$C$9:$C$28,MATCH(C261,Elements!$B$9:$B$28,0))))</f>
        <v/>
      </c>
      <c r="H261" s="8" t="str">
        <f>IF(LEN(C261)=0,"",IF(COUNTIFS(Elements!$B$9:$B$28,C261,Elements!$D$9:$D$28,"&lt;&gt;")=0,"",INDEX(Elements!$D$9:$D$28,MATCH(C261,Elements!$B$9:$B$28,0))))</f>
        <v/>
      </c>
      <c r="I261" s="8" t="str">
        <f t="shared" si="3"/>
        <v/>
      </c>
      <c r="J261" s="7" t="str">
        <f>IF(COUNTA(B261:F261)=0,"",IF(LEN(B261)=0,"Choose segment",IF(COUNTIF(Segments!$B$9:$B$38,B261)=0,"Unknown segment",IF(COUNTIFS(Segments!$B$9:$B$38,B261,Segments!$C$9:$C$38,"&lt;&gt;")=0,"Name segment",IF(LEN(C261)=0,"Choose element",IF(G261="","Name or correct element",IF(LEN(H261)=0,"Enter element weight",IF(NOT(ISNUMBER(H261)),"Numeric weight needed",IF(LEN(D261)=0,"Enter quantity",IF(NOT(ISNUMBER(D261)),"Numeric quantity needed",IF(D261&lt;0,"Quantity below zero","Ready")))))))))))</f>
        <v/>
      </c>
    </row>
    <row r="262" spans="1:10" ht="40" customHeight="1">
      <c r="A262" s="1"/>
      <c r="B262" s="4"/>
      <c r="C262" s="4"/>
      <c r="D262" s="15"/>
      <c r="E262" s="10"/>
      <c r="F262" s="10"/>
      <c r="G262" s="11" t="str">
        <f>IF(LEN(C262)=0,"",IF(COUNTIFS(Elements!$B$9:$B$28,C262,Elements!$C$9:$C$28,"&lt;&gt;")=0,"",INDEX(Elements!$C$9:$C$28,MATCH(C262,Elements!$B$9:$B$28,0))))</f>
        <v/>
      </c>
      <c r="H262" s="8" t="str">
        <f>IF(LEN(C262)=0,"",IF(COUNTIFS(Elements!$B$9:$B$28,C262,Elements!$D$9:$D$28,"&lt;&gt;")=0,"",INDEX(Elements!$D$9:$D$28,MATCH(C262,Elements!$B$9:$B$28,0))))</f>
        <v/>
      </c>
      <c r="I262" s="8" t="str">
        <f t="shared" si="3"/>
        <v/>
      </c>
      <c r="J262" s="7" t="str">
        <f>IF(COUNTA(B262:F262)=0,"",IF(LEN(B262)=0,"Choose segment",IF(COUNTIF(Segments!$B$9:$B$38,B262)=0,"Unknown segment",IF(COUNTIFS(Segments!$B$9:$B$38,B262,Segments!$C$9:$C$38,"&lt;&gt;")=0,"Name segment",IF(LEN(C262)=0,"Choose element",IF(G262="","Name or correct element",IF(LEN(H262)=0,"Enter element weight",IF(NOT(ISNUMBER(H262)),"Numeric weight needed",IF(LEN(D262)=0,"Enter quantity",IF(NOT(ISNUMBER(D262)),"Numeric quantity needed",IF(D262&lt;0,"Quantity below zero","Ready")))))))))))</f>
        <v/>
      </c>
    </row>
    <row r="263" spans="1:10" ht="40" customHeight="1">
      <c r="A263" s="1"/>
      <c r="B263" s="4"/>
      <c r="C263" s="4"/>
      <c r="D263" s="15"/>
      <c r="E263" s="10"/>
      <c r="F263" s="10"/>
      <c r="G263" s="11" t="str">
        <f>IF(LEN(C263)=0,"",IF(COUNTIFS(Elements!$B$9:$B$28,C263,Elements!$C$9:$C$28,"&lt;&gt;")=0,"",INDEX(Elements!$C$9:$C$28,MATCH(C263,Elements!$B$9:$B$28,0))))</f>
        <v/>
      </c>
      <c r="H263" s="8" t="str">
        <f>IF(LEN(C263)=0,"",IF(COUNTIFS(Elements!$B$9:$B$28,C263,Elements!$D$9:$D$28,"&lt;&gt;")=0,"",INDEX(Elements!$D$9:$D$28,MATCH(C263,Elements!$B$9:$B$28,0))))</f>
        <v/>
      </c>
      <c r="I263" s="8" t="str">
        <f t="shared" si="3"/>
        <v/>
      </c>
      <c r="J263" s="7" t="str">
        <f>IF(COUNTA(B263:F263)=0,"",IF(LEN(B263)=0,"Choose segment",IF(COUNTIF(Segments!$B$9:$B$38,B263)=0,"Unknown segment",IF(COUNTIFS(Segments!$B$9:$B$38,B263,Segments!$C$9:$C$38,"&lt;&gt;")=0,"Name segment",IF(LEN(C263)=0,"Choose element",IF(G263="","Name or correct element",IF(LEN(H263)=0,"Enter element weight",IF(NOT(ISNUMBER(H263)),"Numeric weight needed",IF(LEN(D263)=0,"Enter quantity",IF(NOT(ISNUMBER(D263)),"Numeric quantity needed",IF(D263&lt;0,"Quantity below zero","Ready")))))))))))</f>
        <v/>
      </c>
    </row>
    <row r="264" spans="1:10" ht="40" customHeight="1">
      <c r="A264" s="1"/>
      <c r="B264" s="4"/>
      <c r="C264" s="4"/>
      <c r="D264" s="15"/>
      <c r="E264" s="10"/>
      <c r="F264" s="10"/>
      <c r="G264" s="11" t="str">
        <f>IF(LEN(C264)=0,"",IF(COUNTIFS(Elements!$B$9:$B$28,C264,Elements!$C$9:$C$28,"&lt;&gt;")=0,"",INDEX(Elements!$C$9:$C$28,MATCH(C264,Elements!$B$9:$B$28,0))))</f>
        <v/>
      </c>
      <c r="H264" s="8" t="str">
        <f>IF(LEN(C264)=0,"",IF(COUNTIFS(Elements!$B$9:$B$28,C264,Elements!$D$9:$D$28,"&lt;&gt;")=0,"",INDEX(Elements!$D$9:$D$28,MATCH(C264,Elements!$B$9:$B$28,0))))</f>
        <v/>
      </c>
      <c r="I264" s="8" t="str">
        <f t="shared" si="3"/>
        <v/>
      </c>
      <c r="J264" s="7" t="str">
        <f>IF(COUNTA(B264:F264)=0,"",IF(LEN(B264)=0,"Choose segment",IF(COUNTIF(Segments!$B$9:$B$38,B264)=0,"Unknown segment",IF(COUNTIFS(Segments!$B$9:$B$38,B264,Segments!$C$9:$C$38,"&lt;&gt;")=0,"Name segment",IF(LEN(C264)=0,"Choose element",IF(G264="","Name or correct element",IF(LEN(H264)=0,"Enter element weight",IF(NOT(ISNUMBER(H264)),"Numeric weight needed",IF(LEN(D264)=0,"Enter quantity",IF(NOT(ISNUMBER(D264)),"Numeric quantity needed",IF(D264&lt;0,"Quantity below zero","Ready")))))))))))</f>
        <v/>
      </c>
    </row>
    <row r="265" spans="1:10" ht="40" customHeight="1">
      <c r="A265" s="1"/>
      <c r="B265" s="4"/>
      <c r="C265" s="4"/>
      <c r="D265" s="15"/>
      <c r="E265" s="10"/>
      <c r="F265" s="10"/>
      <c r="G265" s="11" t="str">
        <f>IF(LEN(C265)=0,"",IF(COUNTIFS(Elements!$B$9:$B$28,C265,Elements!$C$9:$C$28,"&lt;&gt;")=0,"",INDEX(Elements!$C$9:$C$28,MATCH(C265,Elements!$B$9:$B$28,0))))</f>
        <v/>
      </c>
      <c r="H265" s="8" t="str">
        <f>IF(LEN(C265)=0,"",IF(COUNTIFS(Elements!$B$9:$B$28,C265,Elements!$D$9:$D$28,"&lt;&gt;")=0,"",INDEX(Elements!$D$9:$D$28,MATCH(C265,Elements!$B$9:$B$28,0))))</f>
        <v/>
      </c>
      <c r="I265" s="8" t="str">
        <f t="shared" ref="I265:I308" si="4">IF(J265="Ready",D265*H265,"")</f>
        <v/>
      </c>
      <c r="J265" s="7" t="str">
        <f>IF(COUNTA(B265:F265)=0,"",IF(LEN(B265)=0,"Choose segment",IF(COUNTIF(Segments!$B$9:$B$38,B265)=0,"Unknown segment",IF(COUNTIFS(Segments!$B$9:$B$38,B265,Segments!$C$9:$C$38,"&lt;&gt;")=0,"Name segment",IF(LEN(C265)=0,"Choose element",IF(G265="","Name or correct element",IF(LEN(H265)=0,"Enter element weight",IF(NOT(ISNUMBER(H265)),"Numeric weight needed",IF(LEN(D265)=0,"Enter quantity",IF(NOT(ISNUMBER(D265)),"Numeric quantity needed",IF(D265&lt;0,"Quantity below zero","Ready")))))))))))</f>
        <v/>
      </c>
    </row>
    <row r="266" spans="1:10" ht="40" customHeight="1">
      <c r="A266" s="1"/>
      <c r="B266" s="4"/>
      <c r="C266" s="4"/>
      <c r="D266" s="15"/>
      <c r="E266" s="10"/>
      <c r="F266" s="10"/>
      <c r="G266" s="11" t="str">
        <f>IF(LEN(C266)=0,"",IF(COUNTIFS(Elements!$B$9:$B$28,C266,Elements!$C$9:$C$28,"&lt;&gt;")=0,"",INDEX(Elements!$C$9:$C$28,MATCH(C266,Elements!$B$9:$B$28,0))))</f>
        <v/>
      </c>
      <c r="H266" s="8" t="str">
        <f>IF(LEN(C266)=0,"",IF(COUNTIFS(Elements!$B$9:$B$28,C266,Elements!$D$9:$D$28,"&lt;&gt;")=0,"",INDEX(Elements!$D$9:$D$28,MATCH(C266,Elements!$B$9:$B$28,0))))</f>
        <v/>
      </c>
      <c r="I266" s="8" t="str">
        <f t="shared" si="4"/>
        <v/>
      </c>
      <c r="J266" s="7" t="str">
        <f>IF(COUNTA(B266:F266)=0,"",IF(LEN(B266)=0,"Choose segment",IF(COUNTIF(Segments!$B$9:$B$38,B266)=0,"Unknown segment",IF(COUNTIFS(Segments!$B$9:$B$38,B266,Segments!$C$9:$C$38,"&lt;&gt;")=0,"Name segment",IF(LEN(C266)=0,"Choose element",IF(G266="","Name or correct element",IF(LEN(H266)=0,"Enter element weight",IF(NOT(ISNUMBER(H266)),"Numeric weight needed",IF(LEN(D266)=0,"Enter quantity",IF(NOT(ISNUMBER(D266)),"Numeric quantity needed",IF(D266&lt;0,"Quantity below zero","Ready")))))))))))</f>
        <v/>
      </c>
    </row>
    <row r="267" spans="1:10" ht="40" customHeight="1">
      <c r="A267" s="1"/>
      <c r="B267" s="4"/>
      <c r="C267" s="4"/>
      <c r="D267" s="15"/>
      <c r="E267" s="10"/>
      <c r="F267" s="10"/>
      <c r="G267" s="11" t="str">
        <f>IF(LEN(C267)=0,"",IF(COUNTIFS(Elements!$B$9:$B$28,C267,Elements!$C$9:$C$28,"&lt;&gt;")=0,"",INDEX(Elements!$C$9:$C$28,MATCH(C267,Elements!$B$9:$B$28,0))))</f>
        <v/>
      </c>
      <c r="H267" s="8" t="str">
        <f>IF(LEN(C267)=0,"",IF(COUNTIFS(Elements!$B$9:$B$28,C267,Elements!$D$9:$D$28,"&lt;&gt;")=0,"",INDEX(Elements!$D$9:$D$28,MATCH(C267,Elements!$B$9:$B$28,0))))</f>
        <v/>
      </c>
      <c r="I267" s="8" t="str">
        <f t="shared" si="4"/>
        <v/>
      </c>
      <c r="J267" s="7" t="str">
        <f>IF(COUNTA(B267:F267)=0,"",IF(LEN(B267)=0,"Choose segment",IF(COUNTIF(Segments!$B$9:$B$38,B267)=0,"Unknown segment",IF(COUNTIFS(Segments!$B$9:$B$38,B267,Segments!$C$9:$C$38,"&lt;&gt;")=0,"Name segment",IF(LEN(C267)=0,"Choose element",IF(G267="","Name or correct element",IF(LEN(H267)=0,"Enter element weight",IF(NOT(ISNUMBER(H267)),"Numeric weight needed",IF(LEN(D267)=0,"Enter quantity",IF(NOT(ISNUMBER(D267)),"Numeric quantity needed",IF(D267&lt;0,"Quantity below zero","Ready")))))))))))</f>
        <v/>
      </c>
    </row>
    <row r="268" spans="1:10" ht="40" customHeight="1">
      <c r="A268" s="1"/>
      <c r="B268" s="4"/>
      <c r="C268" s="4"/>
      <c r="D268" s="15"/>
      <c r="E268" s="10"/>
      <c r="F268" s="10"/>
      <c r="G268" s="11" t="str">
        <f>IF(LEN(C268)=0,"",IF(COUNTIFS(Elements!$B$9:$B$28,C268,Elements!$C$9:$C$28,"&lt;&gt;")=0,"",INDEX(Elements!$C$9:$C$28,MATCH(C268,Elements!$B$9:$B$28,0))))</f>
        <v/>
      </c>
      <c r="H268" s="8" t="str">
        <f>IF(LEN(C268)=0,"",IF(COUNTIFS(Elements!$B$9:$B$28,C268,Elements!$D$9:$D$28,"&lt;&gt;")=0,"",INDEX(Elements!$D$9:$D$28,MATCH(C268,Elements!$B$9:$B$28,0))))</f>
        <v/>
      </c>
      <c r="I268" s="8" t="str">
        <f t="shared" si="4"/>
        <v/>
      </c>
      <c r="J268" s="7" t="str">
        <f>IF(COUNTA(B268:F268)=0,"",IF(LEN(B268)=0,"Choose segment",IF(COUNTIF(Segments!$B$9:$B$38,B268)=0,"Unknown segment",IF(COUNTIFS(Segments!$B$9:$B$38,B268,Segments!$C$9:$C$38,"&lt;&gt;")=0,"Name segment",IF(LEN(C268)=0,"Choose element",IF(G268="","Name or correct element",IF(LEN(H268)=0,"Enter element weight",IF(NOT(ISNUMBER(H268)),"Numeric weight needed",IF(LEN(D268)=0,"Enter quantity",IF(NOT(ISNUMBER(D268)),"Numeric quantity needed",IF(D268&lt;0,"Quantity below zero","Ready")))))))))))</f>
        <v/>
      </c>
    </row>
    <row r="269" spans="1:10" ht="40" customHeight="1">
      <c r="A269" s="1"/>
      <c r="B269" s="4"/>
      <c r="C269" s="4"/>
      <c r="D269" s="15"/>
      <c r="E269" s="10"/>
      <c r="F269" s="10"/>
      <c r="G269" s="11" t="str">
        <f>IF(LEN(C269)=0,"",IF(COUNTIFS(Elements!$B$9:$B$28,C269,Elements!$C$9:$C$28,"&lt;&gt;")=0,"",INDEX(Elements!$C$9:$C$28,MATCH(C269,Elements!$B$9:$B$28,0))))</f>
        <v/>
      </c>
      <c r="H269" s="8" t="str">
        <f>IF(LEN(C269)=0,"",IF(COUNTIFS(Elements!$B$9:$B$28,C269,Elements!$D$9:$D$28,"&lt;&gt;")=0,"",INDEX(Elements!$D$9:$D$28,MATCH(C269,Elements!$B$9:$B$28,0))))</f>
        <v/>
      </c>
      <c r="I269" s="8" t="str">
        <f t="shared" si="4"/>
        <v/>
      </c>
      <c r="J269" s="7" t="str">
        <f>IF(COUNTA(B269:F269)=0,"",IF(LEN(B269)=0,"Choose segment",IF(COUNTIF(Segments!$B$9:$B$38,B269)=0,"Unknown segment",IF(COUNTIFS(Segments!$B$9:$B$38,B269,Segments!$C$9:$C$38,"&lt;&gt;")=0,"Name segment",IF(LEN(C269)=0,"Choose element",IF(G269="","Name or correct element",IF(LEN(H269)=0,"Enter element weight",IF(NOT(ISNUMBER(H269)),"Numeric weight needed",IF(LEN(D269)=0,"Enter quantity",IF(NOT(ISNUMBER(D269)),"Numeric quantity needed",IF(D269&lt;0,"Quantity below zero","Ready")))))))))))</f>
        <v/>
      </c>
    </row>
    <row r="270" spans="1:10" ht="40" customHeight="1">
      <c r="A270" s="1"/>
      <c r="B270" s="4"/>
      <c r="C270" s="4"/>
      <c r="D270" s="15"/>
      <c r="E270" s="10"/>
      <c r="F270" s="10"/>
      <c r="G270" s="11" t="str">
        <f>IF(LEN(C270)=0,"",IF(COUNTIFS(Elements!$B$9:$B$28,C270,Elements!$C$9:$C$28,"&lt;&gt;")=0,"",INDEX(Elements!$C$9:$C$28,MATCH(C270,Elements!$B$9:$B$28,0))))</f>
        <v/>
      </c>
      <c r="H270" s="8" t="str">
        <f>IF(LEN(C270)=0,"",IF(COUNTIFS(Elements!$B$9:$B$28,C270,Elements!$D$9:$D$28,"&lt;&gt;")=0,"",INDEX(Elements!$D$9:$D$28,MATCH(C270,Elements!$B$9:$B$28,0))))</f>
        <v/>
      </c>
      <c r="I270" s="8" t="str">
        <f t="shared" si="4"/>
        <v/>
      </c>
      <c r="J270" s="7" t="str">
        <f>IF(COUNTA(B270:F270)=0,"",IF(LEN(B270)=0,"Choose segment",IF(COUNTIF(Segments!$B$9:$B$38,B270)=0,"Unknown segment",IF(COUNTIFS(Segments!$B$9:$B$38,B270,Segments!$C$9:$C$38,"&lt;&gt;")=0,"Name segment",IF(LEN(C270)=0,"Choose element",IF(G270="","Name or correct element",IF(LEN(H270)=0,"Enter element weight",IF(NOT(ISNUMBER(H270)),"Numeric weight needed",IF(LEN(D270)=0,"Enter quantity",IF(NOT(ISNUMBER(D270)),"Numeric quantity needed",IF(D270&lt;0,"Quantity below zero","Ready")))))))))))</f>
        <v/>
      </c>
    </row>
    <row r="271" spans="1:10" ht="40" customHeight="1">
      <c r="A271" s="1"/>
      <c r="B271" s="4"/>
      <c r="C271" s="4"/>
      <c r="D271" s="15"/>
      <c r="E271" s="10"/>
      <c r="F271" s="10"/>
      <c r="G271" s="11" t="str">
        <f>IF(LEN(C271)=0,"",IF(COUNTIFS(Elements!$B$9:$B$28,C271,Elements!$C$9:$C$28,"&lt;&gt;")=0,"",INDEX(Elements!$C$9:$C$28,MATCH(C271,Elements!$B$9:$B$28,0))))</f>
        <v/>
      </c>
      <c r="H271" s="8" t="str">
        <f>IF(LEN(C271)=0,"",IF(COUNTIFS(Elements!$B$9:$B$28,C271,Elements!$D$9:$D$28,"&lt;&gt;")=0,"",INDEX(Elements!$D$9:$D$28,MATCH(C271,Elements!$B$9:$B$28,0))))</f>
        <v/>
      </c>
      <c r="I271" s="8" t="str">
        <f t="shared" si="4"/>
        <v/>
      </c>
      <c r="J271" s="7" t="str">
        <f>IF(COUNTA(B271:F271)=0,"",IF(LEN(B271)=0,"Choose segment",IF(COUNTIF(Segments!$B$9:$B$38,B271)=0,"Unknown segment",IF(COUNTIFS(Segments!$B$9:$B$38,B271,Segments!$C$9:$C$38,"&lt;&gt;")=0,"Name segment",IF(LEN(C271)=0,"Choose element",IF(G271="","Name or correct element",IF(LEN(H271)=0,"Enter element weight",IF(NOT(ISNUMBER(H271)),"Numeric weight needed",IF(LEN(D271)=0,"Enter quantity",IF(NOT(ISNUMBER(D271)),"Numeric quantity needed",IF(D271&lt;0,"Quantity below zero","Ready")))))))))))</f>
        <v/>
      </c>
    </row>
    <row r="272" spans="1:10" ht="40" customHeight="1">
      <c r="A272" s="1"/>
      <c r="B272" s="4"/>
      <c r="C272" s="4"/>
      <c r="D272" s="15"/>
      <c r="E272" s="10"/>
      <c r="F272" s="10"/>
      <c r="G272" s="11" t="str">
        <f>IF(LEN(C272)=0,"",IF(COUNTIFS(Elements!$B$9:$B$28,C272,Elements!$C$9:$C$28,"&lt;&gt;")=0,"",INDEX(Elements!$C$9:$C$28,MATCH(C272,Elements!$B$9:$B$28,0))))</f>
        <v/>
      </c>
      <c r="H272" s="8" t="str">
        <f>IF(LEN(C272)=0,"",IF(COUNTIFS(Elements!$B$9:$B$28,C272,Elements!$D$9:$D$28,"&lt;&gt;")=0,"",INDEX(Elements!$D$9:$D$28,MATCH(C272,Elements!$B$9:$B$28,0))))</f>
        <v/>
      </c>
      <c r="I272" s="8" t="str">
        <f t="shared" si="4"/>
        <v/>
      </c>
      <c r="J272" s="7" t="str">
        <f>IF(COUNTA(B272:F272)=0,"",IF(LEN(B272)=0,"Choose segment",IF(COUNTIF(Segments!$B$9:$B$38,B272)=0,"Unknown segment",IF(COUNTIFS(Segments!$B$9:$B$38,B272,Segments!$C$9:$C$38,"&lt;&gt;")=0,"Name segment",IF(LEN(C272)=0,"Choose element",IF(G272="","Name or correct element",IF(LEN(H272)=0,"Enter element weight",IF(NOT(ISNUMBER(H272)),"Numeric weight needed",IF(LEN(D272)=0,"Enter quantity",IF(NOT(ISNUMBER(D272)),"Numeric quantity needed",IF(D272&lt;0,"Quantity below zero","Ready")))))))))))</f>
        <v/>
      </c>
    </row>
    <row r="273" spans="1:10" ht="40" customHeight="1">
      <c r="A273" s="1"/>
      <c r="B273" s="4"/>
      <c r="C273" s="4"/>
      <c r="D273" s="15"/>
      <c r="E273" s="10"/>
      <c r="F273" s="10"/>
      <c r="G273" s="11" t="str">
        <f>IF(LEN(C273)=0,"",IF(COUNTIFS(Elements!$B$9:$B$28,C273,Elements!$C$9:$C$28,"&lt;&gt;")=0,"",INDEX(Elements!$C$9:$C$28,MATCH(C273,Elements!$B$9:$B$28,0))))</f>
        <v/>
      </c>
      <c r="H273" s="8" t="str">
        <f>IF(LEN(C273)=0,"",IF(COUNTIFS(Elements!$B$9:$B$28,C273,Elements!$D$9:$D$28,"&lt;&gt;")=0,"",INDEX(Elements!$D$9:$D$28,MATCH(C273,Elements!$B$9:$B$28,0))))</f>
        <v/>
      </c>
      <c r="I273" s="8" t="str">
        <f t="shared" si="4"/>
        <v/>
      </c>
      <c r="J273" s="7" t="str">
        <f>IF(COUNTA(B273:F273)=0,"",IF(LEN(B273)=0,"Choose segment",IF(COUNTIF(Segments!$B$9:$B$38,B273)=0,"Unknown segment",IF(COUNTIFS(Segments!$B$9:$B$38,B273,Segments!$C$9:$C$38,"&lt;&gt;")=0,"Name segment",IF(LEN(C273)=0,"Choose element",IF(G273="","Name or correct element",IF(LEN(H273)=0,"Enter element weight",IF(NOT(ISNUMBER(H273)),"Numeric weight needed",IF(LEN(D273)=0,"Enter quantity",IF(NOT(ISNUMBER(D273)),"Numeric quantity needed",IF(D273&lt;0,"Quantity below zero","Ready")))))))))))</f>
        <v/>
      </c>
    </row>
    <row r="274" spans="1:10" ht="40" customHeight="1">
      <c r="A274" s="1"/>
      <c r="B274" s="4"/>
      <c r="C274" s="4"/>
      <c r="D274" s="15"/>
      <c r="E274" s="10"/>
      <c r="F274" s="10"/>
      <c r="G274" s="11" t="str">
        <f>IF(LEN(C274)=0,"",IF(COUNTIFS(Elements!$B$9:$B$28,C274,Elements!$C$9:$C$28,"&lt;&gt;")=0,"",INDEX(Elements!$C$9:$C$28,MATCH(C274,Elements!$B$9:$B$28,0))))</f>
        <v/>
      </c>
      <c r="H274" s="8" t="str">
        <f>IF(LEN(C274)=0,"",IF(COUNTIFS(Elements!$B$9:$B$28,C274,Elements!$D$9:$D$28,"&lt;&gt;")=0,"",INDEX(Elements!$D$9:$D$28,MATCH(C274,Elements!$B$9:$B$28,0))))</f>
        <v/>
      </c>
      <c r="I274" s="8" t="str">
        <f t="shared" si="4"/>
        <v/>
      </c>
      <c r="J274" s="7" t="str">
        <f>IF(COUNTA(B274:F274)=0,"",IF(LEN(B274)=0,"Choose segment",IF(COUNTIF(Segments!$B$9:$B$38,B274)=0,"Unknown segment",IF(COUNTIFS(Segments!$B$9:$B$38,B274,Segments!$C$9:$C$38,"&lt;&gt;")=0,"Name segment",IF(LEN(C274)=0,"Choose element",IF(G274="","Name or correct element",IF(LEN(H274)=0,"Enter element weight",IF(NOT(ISNUMBER(H274)),"Numeric weight needed",IF(LEN(D274)=0,"Enter quantity",IF(NOT(ISNUMBER(D274)),"Numeric quantity needed",IF(D274&lt;0,"Quantity below zero","Ready")))))))))))</f>
        <v/>
      </c>
    </row>
    <row r="275" spans="1:10" ht="40" customHeight="1">
      <c r="A275" s="1"/>
      <c r="B275" s="4"/>
      <c r="C275" s="4"/>
      <c r="D275" s="15"/>
      <c r="E275" s="10"/>
      <c r="F275" s="10"/>
      <c r="G275" s="11" t="str">
        <f>IF(LEN(C275)=0,"",IF(COUNTIFS(Elements!$B$9:$B$28,C275,Elements!$C$9:$C$28,"&lt;&gt;")=0,"",INDEX(Elements!$C$9:$C$28,MATCH(C275,Elements!$B$9:$B$28,0))))</f>
        <v/>
      </c>
      <c r="H275" s="8" t="str">
        <f>IF(LEN(C275)=0,"",IF(COUNTIFS(Elements!$B$9:$B$28,C275,Elements!$D$9:$D$28,"&lt;&gt;")=0,"",INDEX(Elements!$D$9:$D$28,MATCH(C275,Elements!$B$9:$B$28,0))))</f>
        <v/>
      </c>
      <c r="I275" s="8" t="str">
        <f t="shared" si="4"/>
        <v/>
      </c>
      <c r="J275" s="7" t="str">
        <f>IF(COUNTA(B275:F275)=0,"",IF(LEN(B275)=0,"Choose segment",IF(COUNTIF(Segments!$B$9:$B$38,B275)=0,"Unknown segment",IF(COUNTIFS(Segments!$B$9:$B$38,B275,Segments!$C$9:$C$38,"&lt;&gt;")=0,"Name segment",IF(LEN(C275)=0,"Choose element",IF(G275="","Name or correct element",IF(LEN(H275)=0,"Enter element weight",IF(NOT(ISNUMBER(H275)),"Numeric weight needed",IF(LEN(D275)=0,"Enter quantity",IF(NOT(ISNUMBER(D275)),"Numeric quantity needed",IF(D275&lt;0,"Quantity below zero","Ready")))))))))))</f>
        <v/>
      </c>
    </row>
    <row r="276" spans="1:10" ht="40" customHeight="1">
      <c r="A276" s="1"/>
      <c r="B276" s="4"/>
      <c r="C276" s="4"/>
      <c r="D276" s="15"/>
      <c r="E276" s="10"/>
      <c r="F276" s="10"/>
      <c r="G276" s="11" t="str">
        <f>IF(LEN(C276)=0,"",IF(COUNTIFS(Elements!$B$9:$B$28,C276,Elements!$C$9:$C$28,"&lt;&gt;")=0,"",INDEX(Elements!$C$9:$C$28,MATCH(C276,Elements!$B$9:$B$28,0))))</f>
        <v/>
      </c>
      <c r="H276" s="8" t="str">
        <f>IF(LEN(C276)=0,"",IF(COUNTIFS(Elements!$B$9:$B$28,C276,Elements!$D$9:$D$28,"&lt;&gt;")=0,"",INDEX(Elements!$D$9:$D$28,MATCH(C276,Elements!$B$9:$B$28,0))))</f>
        <v/>
      </c>
      <c r="I276" s="8" t="str">
        <f t="shared" si="4"/>
        <v/>
      </c>
      <c r="J276" s="7" t="str">
        <f>IF(COUNTA(B276:F276)=0,"",IF(LEN(B276)=0,"Choose segment",IF(COUNTIF(Segments!$B$9:$B$38,B276)=0,"Unknown segment",IF(COUNTIFS(Segments!$B$9:$B$38,B276,Segments!$C$9:$C$38,"&lt;&gt;")=0,"Name segment",IF(LEN(C276)=0,"Choose element",IF(G276="","Name or correct element",IF(LEN(H276)=0,"Enter element weight",IF(NOT(ISNUMBER(H276)),"Numeric weight needed",IF(LEN(D276)=0,"Enter quantity",IF(NOT(ISNUMBER(D276)),"Numeric quantity needed",IF(D276&lt;0,"Quantity below zero","Ready")))))))))))</f>
        <v/>
      </c>
    </row>
    <row r="277" spans="1:10" ht="40" customHeight="1">
      <c r="A277" s="1"/>
      <c r="B277" s="4"/>
      <c r="C277" s="4"/>
      <c r="D277" s="15"/>
      <c r="E277" s="10"/>
      <c r="F277" s="10"/>
      <c r="G277" s="11" t="str">
        <f>IF(LEN(C277)=0,"",IF(COUNTIFS(Elements!$B$9:$B$28,C277,Elements!$C$9:$C$28,"&lt;&gt;")=0,"",INDEX(Elements!$C$9:$C$28,MATCH(C277,Elements!$B$9:$B$28,0))))</f>
        <v/>
      </c>
      <c r="H277" s="8" t="str">
        <f>IF(LEN(C277)=0,"",IF(COUNTIFS(Elements!$B$9:$B$28,C277,Elements!$D$9:$D$28,"&lt;&gt;")=0,"",INDEX(Elements!$D$9:$D$28,MATCH(C277,Elements!$B$9:$B$28,0))))</f>
        <v/>
      </c>
      <c r="I277" s="8" t="str">
        <f t="shared" si="4"/>
        <v/>
      </c>
      <c r="J277" s="7" t="str">
        <f>IF(COUNTA(B277:F277)=0,"",IF(LEN(B277)=0,"Choose segment",IF(COUNTIF(Segments!$B$9:$B$38,B277)=0,"Unknown segment",IF(COUNTIFS(Segments!$B$9:$B$38,B277,Segments!$C$9:$C$38,"&lt;&gt;")=0,"Name segment",IF(LEN(C277)=0,"Choose element",IF(G277="","Name or correct element",IF(LEN(H277)=0,"Enter element weight",IF(NOT(ISNUMBER(H277)),"Numeric weight needed",IF(LEN(D277)=0,"Enter quantity",IF(NOT(ISNUMBER(D277)),"Numeric quantity needed",IF(D277&lt;0,"Quantity below zero","Ready")))))))))))</f>
        <v/>
      </c>
    </row>
    <row r="278" spans="1:10" ht="40" customHeight="1">
      <c r="A278" s="1"/>
      <c r="B278" s="4"/>
      <c r="C278" s="4"/>
      <c r="D278" s="15"/>
      <c r="E278" s="10"/>
      <c r="F278" s="10"/>
      <c r="G278" s="11" t="str">
        <f>IF(LEN(C278)=0,"",IF(COUNTIFS(Elements!$B$9:$B$28,C278,Elements!$C$9:$C$28,"&lt;&gt;")=0,"",INDEX(Elements!$C$9:$C$28,MATCH(C278,Elements!$B$9:$B$28,0))))</f>
        <v/>
      </c>
      <c r="H278" s="8" t="str">
        <f>IF(LEN(C278)=0,"",IF(COUNTIFS(Elements!$B$9:$B$28,C278,Elements!$D$9:$D$28,"&lt;&gt;")=0,"",INDEX(Elements!$D$9:$D$28,MATCH(C278,Elements!$B$9:$B$28,0))))</f>
        <v/>
      </c>
      <c r="I278" s="8" t="str">
        <f t="shared" si="4"/>
        <v/>
      </c>
      <c r="J278" s="7" t="str">
        <f>IF(COUNTA(B278:F278)=0,"",IF(LEN(B278)=0,"Choose segment",IF(COUNTIF(Segments!$B$9:$B$38,B278)=0,"Unknown segment",IF(COUNTIFS(Segments!$B$9:$B$38,B278,Segments!$C$9:$C$38,"&lt;&gt;")=0,"Name segment",IF(LEN(C278)=0,"Choose element",IF(G278="","Name or correct element",IF(LEN(H278)=0,"Enter element weight",IF(NOT(ISNUMBER(H278)),"Numeric weight needed",IF(LEN(D278)=0,"Enter quantity",IF(NOT(ISNUMBER(D278)),"Numeric quantity needed",IF(D278&lt;0,"Quantity below zero","Ready")))))))))))</f>
        <v/>
      </c>
    </row>
    <row r="279" spans="1:10" ht="40" customHeight="1">
      <c r="A279" s="1"/>
      <c r="B279" s="4"/>
      <c r="C279" s="4"/>
      <c r="D279" s="15"/>
      <c r="E279" s="10"/>
      <c r="F279" s="10"/>
      <c r="G279" s="11" t="str">
        <f>IF(LEN(C279)=0,"",IF(COUNTIFS(Elements!$B$9:$B$28,C279,Elements!$C$9:$C$28,"&lt;&gt;")=0,"",INDEX(Elements!$C$9:$C$28,MATCH(C279,Elements!$B$9:$B$28,0))))</f>
        <v/>
      </c>
      <c r="H279" s="8" t="str">
        <f>IF(LEN(C279)=0,"",IF(COUNTIFS(Elements!$B$9:$B$28,C279,Elements!$D$9:$D$28,"&lt;&gt;")=0,"",INDEX(Elements!$D$9:$D$28,MATCH(C279,Elements!$B$9:$B$28,0))))</f>
        <v/>
      </c>
      <c r="I279" s="8" t="str">
        <f t="shared" si="4"/>
        <v/>
      </c>
      <c r="J279" s="7" t="str">
        <f>IF(COUNTA(B279:F279)=0,"",IF(LEN(B279)=0,"Choose segment",IF(COUNTIF(Segments!$B$9:$B$38,B279)=0,"Unknown segment",IF(COUNTIFS(Segments!$B$9:$B$38,B279,Segments!$C$9:$C$38,"&lt;&gt;")=0,"Name segment",IF(LEN(C279)=0,"Choose element",IF(G279="","Name or correct element",IF(LEN(H279)=0,"Enter element weight",IF(NOT(ISNUMBER(H279)),"Numeric weight needed",IF(LEN(D279)=0,"Enter quantity",IF(NOT(ISNUMBER(D279)),"Numeric quantity needed",IF(D279&lt;0,"Quantity below zero","Ready")))))))))))</f>
        <v/>
      </c>
    </row>
    <row r="280" spans="1:10" ht="40" customHeight="1">
      <c r="A280" s="1"/>
      <c r="B280" s="4"/>
      <c r="C280" s="4"/>
      <c r="D280" s="15"/>
      <c r="E280" s="10"/>
      <c r="F280" s="10"/>
      <c r="G280" s="11" t="str">
        <f>IF(LEN(C280)=0,"",IF(COUNTIFS(Elements!$B$9:$B$28,C280,Elements!$C$9:$C$28,"&lt;&gt;")=0,"",INDEX(Elements!$C$9:$C$28,MATCH(C280,Elements!$B$9:$B$28,0))))</f>
        <v/>
      </c>
      <c r="H280" s="8" t="str">
        <f>IF(LEN(C280)=0,"",IF(COUNTIFS(Elements!$B$9:$B$28,C280,Elements!$D$9:$D$28,"&lt;&gt;")=0,"",INDEX(Elements!$D$9:$D$28,MATCH(C280,Elements!$B$9:$B$28,0))))</f>
        <v/>
      </c>
      <c r="I280" s="8" t="str">
        <f t="shared" si="4"/>
        <v/>
      </c>
      <c r="J280" s="7" t="str">
        <f>IF(COUNTA(B280:F280)=0,"",IF(LEN(B280)=0,"Choose segment",IF(COUNTIF(Segments!$B$9:$B$38,B280)=0,"Unknown segment",IF(COUNTIFS(Segments!$B$9:$B$38,B280,Segments!$C$9:$C$38,"&lt;&gt;")=0,"Name segment",IF(LEN(C280)=0,"Choose element",IF(G280="","Name or correct element",IF(LEN(H280)=0,"Enter element weight",IF(NOT(ISNUMBER(H280)),"Numeric weight needed",IF(LEN(D280)=0,"Enter quantity",IF(NOT(ISNUMBER(D280)),"Numeric quantity needed",IF(D280&lt;0,"Quantity below zero","Ready")))))))))))</f>
        <v/>
      </c>
    </row>
    <row r="281" spans="1:10" ht="40" customHeight="1">
      <c r="A281" s="1"/>
      <c r="B281" s="4"/>
      <c r="C281" s="4"/>
      <c r="D281" s="15"/>
      <c r="E281" s="10"/>
      <c r="F281" s="10"/>
      <c r="G281" s="11" t="str">
        <f>IF(LEN(C281)=0,"",IF(COUNTIFS(Elements!$B$9:$B$28,C281,Elements!$C$9:$C$28,"&lt;&gt;")=0,"",INDEX(Elements!$C$9:$C$28,MATCH(C281,Elements!$B$9:$B$28,0))))</f>
        <v/>
      </c>
      <c r="H281" s="8" t="str">
        <f>IF(LEN(C281)=0,"",IF(COUNTIFS(Elements!$B$9:$B$28,C281,Elements!$D$9:$D$28,"&lt;&gt;")=0,"",INDEX(Elements!$D$9:$D$28,MATCH(C281,Elements!$B$9:$B$28,0))))</f>
        <v/>
      </c>
      <c r="I281" s="8" t="str">
        <f t="shared" si="4"/>
        <v/>
      </c>
      <c r="J281" s="7" t="str">
        <f>IF(COUNTA(B281:F281)=0,"",IF(LEN(B281)=0,"Choose segment",IF(COUNTIF(Segments!$B$9:$B$38,B281)=0,"Unknown segment",IF(COUNTIFS(Segments!$B$9:$B$38,B281,Segments!$C$9:$C$38,"&lt;&gt;")=0,"Name segment",IF(LEN(C281)=0,"Choose element",IF(G281="","Name or correct element",IF(LEN(H281)=0,"Enter element weight",IF(NOT(ISNUMBER(H281)),"Numeric weight needed",IF(LEN(D281)=0,"Enter quantity",IF(NOT(ISNUMBER(D281)),"Numeric quantity needed",IF(D281&lt;0,"Quantity below zero","Ready")))))))))))</f>
        <v/>
      </c>
    </row>
    <row r="282" spans="1:10" ht="40" customHeight="1">
      <c r="A282" s="1"/>
      <c r="B282" s="4"/>
      <c r="C282" s="4"/>
      <c r="D282" s="15"/>
      <c r="E282" s="10"/>
      <c r="F282" s="10"/>
      <c r="G282" s="11" t="str">
        <f>IF(LEN(C282)=0,"",IF(COUNTIFS(Elements!$B$9:$B$28,C282,Elements!$C$9:$C$28,"&lt;&gt;")=0,"",INDEX(Elements!$C$9:$C$28,MATCH(C282,Elements!$B$9:$B$28,0))))</f>
        <v/>
      </c>
      <c r="H282" s="8" t="str">
        <f>IF(LEN(C282)=0,"",IF(COUNTIFS(Elements!$B$9:$B$28,C282,Elements!$D$9:$D$28,"&lt;&gt;")=0,"",INDEX(Elements!$D$9:$D$28,MATCH(C282,Elements!$B$9:$B$28,0))))</f>
        <v/>
      </c>
      <c r="I282" s="8" t="str">
        <f t="shared" si="4"/>
        <v/>
      </c>
      <c r="J282" s="7" t="str">
        <f>IF(COUNTA(B282:F282)=0,"",IF(LEN(B282)=0,"Choose segment",IF(COUNTIF(Segments!$B$9:$B$38,B282)=0,"Unknown segment",IF(COUNTIFS(Segments!$B$9:$B$38,B282,Segments!$C$9:$C$38,"&lt;&gt;")=0,"Name segment",IF(LEN(C282)=0,"Choose element",IF(G282="","Name or correct element",IF(LEN(H282)=0,"Enter element weight",IF(NOT(ISNUMBER(H282)),"Numeric weight needed",IF(LEN(D282)=0,"Enter quantity",IF(NOT(ISNUMBER(D282)),"Numeric quantity needed",IF(D282&lt;0,"Quantity below zero","Ready")))))))))))</f>
        <v/>
      </c>
    </row>
    <row r="283" spans="1:10" ht="40" customHeight="1">
      <c r="A283" s="1"/>
      <c r="B283" s="4"/>
      <c r="C283" s="4"/>
      <c r="D283" s="15"/>
      <c r="E283" s="10"/>
      <c r="F283" s="10"/>
      <c r="G283" s="11" t="str">
        <f>IF(LEN(C283)=0,"",IF(COUNTIFS(Elements!$B$9:$B$28,C283,Elements!$C$9:$C$28,"&lt;&gt;")=0,"",INDEX(Elements!$C$9:$C$28,MATCH(C283,Elements!$B$9:$B$28,0))))</f>
        <v/>
      </c>
      <c r="H283" s="8" t="str">
        <f>IF(LEN(C283)=0,"",IF(COUNTIFS(Elements!$B$9:$B$28,C283,Elements!$D$9:$D$28,"&lt;&gt;")=0,"",INDEX(Elements!$D$9:$D$28,MATCH(C283,Elements!$B$9:$B$28,0))))</f>
        <v/>
      </c>
      <c r="I283" s="8" t="str">
        <f t="shared" si="4"/>
        <v/>
      </c>
      <c r="J283" s="7" t="str">
        <f>IF(COUNTA(B283:F283)=0,"",IF(LEN(B283)=0,"Choose segment",IF(COUNTIF(Segments!$B$9:$B$38,B283)=0,"Unknown segment",IF(COUNTIFS(Segments!$B$9:$B$38,B283,Segments!$C$9:$C$38,"&lt;&gt;")=0,"Name segment",IF(LEN(C283)=0,"Choose element",IF(G283="","Name or correct element",IF(LEN(H283)=0,"Enter element weight",IF(NOT(ISNUMBER(H283)),"Numeric weight needed",IF(LEN(D283)=0,"Enter quantity",IF(NOT(ISNUMBER(D283)),"Numeric quantity needed",IF(D283&lt;0,"Quantity below zero","Ready")))))))))))</f>
        <v/>
      </c>
    </row>
    <row r="284" spans="1:10" ht="40" customHeight="1">
      <c r="A284" s="1"/>
      <c r="B284" s="4"/>
      <c r="C284" s="4"/>
      <c r="D284" s="15"/>
      <c r="E284" s="10"/>
      <c r="F284" s="10"/>
      <c r="G284" s="11" t="str">
        <f>IF(LEN(C284)=0,"",IF(COUNTIFS(Elements!$B$9:$B$28,C284,Elements!$C$9:$C$28,"&lt;&gt;")=0,"",INDEX(Elements!$C$9:$C$28,MATCH(C284,Elements!$B$9:$B$28,0))))</f>
        <v/>
      </c>
      <c r="H284" s="8" t="str">
        <f>IF(LEN(C284)=0,"",IF(COUNTIFS(Elements!$B$9:$B$28,C284,Elements!$D$9:$D$28,"&lt;&gt;")=0,"",INDEX(Elements!$D$9:$D$28,MATCH(C284,Elements!$B$9:$B$28,0))))</f>
        <v/>
      </c>
      <c r="I284" s="8" t="str">
        <f t="shared" si="4"/>
        <v/>
      </c>
      <c r="J284" s="7" t="str">
        <f>IF(COUNTA(B284:F284)=0,"",IF(LEN(B284)=0,"Choose segment",IF(COUNTIF(Segments!$B$9:$B$38,B284)=0,"Unknown segment",IF(COUNTIFS(Segments!$B$9:$B$38,B284,Segments!$C$9:$C$38,"&lt;&gt;")=0,"Name segment",IF(LEN(C284)=0,"Choose element",IF(G284="","Name or correct element",IF(LEN(H284)=0,"Enter element weight",IF(NOT(ISNUMBER(H284)),"Numeric weight needed",IF(LEN(D284)=0,"Enter quantity",IF(NOT(ISNUMBER(D284)),"Numeric quantity needed",IF(D284&lt;0,"Quantity below zero","Ready")))))))))))</f>
        <v/>
      </c>
    </row>
    <row r="285" spans="1:10" ht="40" customHeight="1">
      <c r="A285" s="1"/>
      <c r="B285" s="4"/>
      <c r="C285" s="4"/>
      <c r="D285" s="15"/>
      <c r="E285" s="10"/>
      <c r="F285" s="10"/>
      <c r="G285" s="11" t="str">
        <f>IF(LEN(C285)=0,"",IF(COUNTIFS(Elements!$B$9:$B$28,C285,Elements!$C$9:$C$28,"&lt;&gt;")=0,"",INDEX(Elements!$C$9:$C$28,MATCH(C285,Elements!$B$9:$B$28,0))))</f>
        <v/>
      </c>
      <c r="H285" s="8" t="str">
        <f>IF(LEN(C285)=0,"",IF(COUNTIFS(Elements!$B$9:$B$28,C285,Elements!$D$9:$D$28,"&lt;&gt;")=0,"",INDEX(Elements!$D$9:$D$28,MATCH(C285,Elements!$B$9:$B$28,0))))</f>
        <v/>
      </c>
      <c r="I285" s="8" t="str">
        <f t="shared" si="4"/>
        <v/>
      </c>
      <c r="J285" s="7" t="str">
        <f>IF(COUNTA(B285:F285)=0,"",IF(LEN(B285)=0,"Choose segment",IF(COUNTIF(Segments!$B$9:$B$38,B285)=0,"Unknown segment",IF(COUNTIFS(Segments!$B$9:$B$38,B285,Segments!$C$9:$C$38,"&lt;&gt;")=0,"Name segment",IF(LEN(C285)=0,"Choose element",IF(G285="","Name or correct element",IF(LEN(H285)=0,"Enter element weight",IF(NOT(ISNUMBER(H285)),"Numeric weight needed",IF(LEN(D285)=0,"Enter quantity",IF(NOT(ISNUMBER(D285)),"Numeric quantity needed",IF(D285&lt;0,"Quantity below zero","Ready")))))))))))</f>
        <v/>
      </c>
    </row>
    <row r="286" spans="1:10" ht="40" customHeight="1">
      <c r="A286" s="1"/>
      <c r="B286" s="4"/>
      <c r="C286" s="4"/>
      <c r="D286" s="15"/>
      <c r="E286" s="10"/>
      <c r="F286" s="10"/>
      <c r="G286" s="11" t="str">
        <f>IF(LEN(C286)=0,"",IF(COUNTIFS(Elements!$B$9:$B$28,C286,Elements!$C$9:$C$28,"&lt;&gt;")=0,"",INDEX(Elements!$C$9:$C$28,MATCH(C286,Elements!$B$9:$B$28,0))))</f>
        <v/>
      </c>
      <c r="H286" s="8" t="str">
        <f>IF(LEN(C286)=0,"",IF(COUNTIFS(Elements!$B$9:$B$28,C286,Elements!$D$9:$D$28,"&lt;&gt;")=0,"",INDEX(Elements!$D$9:$D$28,MATCH(C286,Elements!$B$9:$B$28,0))))</f>
        <v/>
      </c>
      <c r="I286" s="8" t="str">
        <f t="shared" si="4"/>
        <v/>
      </c>
      <c r="J286" s="7" t="str">
        <f>IF(COUNTA(B286:F286)=0,"",IF(LEN(B286)=0,"Choose segment",IF(COUNTIF(Segments!$B$9:$B$38,B286)=0,"Unknown segment",IF(COUNTIFS(Segments!$B$9:$B$38,B286,Segments!$C$9:$C$38,"&lt;&gt;")=0,"Name segment",IF(LEN(C286)=0,"Choose element",IF(G286="","Name or correct element",IF(LEN(H286)=0,"Enter element weight",IF(NOT(ISNUMBER(H286)),"Numeric weight needed",IF(LEN(D286)=0,"Enter quantity",IF(NOT(ISNUMBER(D286)),"Numeric quantity needed",IF(D286&lt;0,"Quantity below zero","Ready")))))))))))</f>
        <v/>
      </c>
    </row>
    <row r="287" spans="1:10" ht="40" customHeight="1">
      <c r="A287" s="1"/>
      <c r="B287" s="4"/>
      <c r="C287" s="4"/>
      <c r="D287" s="15"/>
      <c r="E287" s="10"/>
      <c r="F287" s="10"/>
      <c r="G287" s="11" t="str">
        <f>IF(LEN(C287)=0,"",IF(COUNTIFS(Elements!$B$9:$B$28,C287,Elements!$C$9:$C$28,"&lt;&gt;")=0,"",INDEX(Elements!$C$9:$C$28,MATCH(C287,Elements!$B$9:$B$28,0))))</f>
        <v/>
      </c>
      <c r="H287" s="8" t="str">
        <f>IF(LEN(C287)=0,"",IF(COUNTIFS(Elements!$B$9:$B$28,C287,Elements!$D$9:$D$28,"&lt;&gt;")=0,"",INDEX(Elements!$D$9:$D$28,MATCH(C287,Elements!$B$9:$B$28,0))))</f>
        <v/>
      </c>
      <c r="I287" s="8" t="str">
        <f t="shared" si="4"/>
        <v/>
      </c>
      <c r="J287" s="7" t="str">
        <f>IF(COUNTA(B287:F287)=0,"",IF(LEN(B287)=0,"Choose segment",IF(COUNTIF(Segments!$B$9:$B$38,B287)=0,"Unknown segment",IF(COUNTIFS(Segments!$B$9:$B$38,B287,Segments!$C$9:$C$38,"&lt;&gt;")=0,"Name segment",IF(LEN(C287)=0,"Choose element",IF(G287="","Name or correct element",IF(LEN(H287)=0,"Enter element weight",IF(NOT(ISNUMBER(H287)),"Numeric weight needed",IF(LEN(D287)=0,"Enter quantity",IF(NOT(ISNUMBER(D287)),"Numeric quantity needed",IF(D287&lt;0,"Quantity below zero","Ready")))))))))))</f>
        <v/>
      </c>
    </row>
    <row r="288" spans="1:10" ht="40" customHeight="1">
      <c r="A288" s="1"/>
      <c r="B288" s="4"/>
      <c r="C288" s="4"/>
      <c r="D288" s="15"/>
      <c r="E288" s="10"/>
      <c r="F288" s="10"/>
      <c r="G288" s="11" t="str">
        <f>IF(LEN(C288)=0,"",IF(COUNTIFS(Elements!$B$9:$B$28,C288,Elements!$C$9:$C$28,"&lt;&gt;")=0,"",INDEX(Elements!$C$9:$C$28,MATCH(C288,Elements!$B$9:$B$28,0))))</f>
        <v/>
      </c>
      <c r="H288" s="8" t="str">
        <f>IF(LEN(C288)=0,"",IF(COUNTIFS(Elements!$B$9:$B$28,C288,Elements!$D$9:$D$28,"&lt;&gt;")=0,"",INDEX(Elements!$D$9:$D$28,MATCH(C288,Elements!$B$9:$B$28,0))))</f>
        <v/>
      </c>
      <c r="I288" s="8" t="str">
        <f t="shared" si="4"/>
        <v/>
      </c>
      <c r="J288" s="7" t="str">
        <f>IF(COUNTA(B288:F288)=0,"",IF(LEN(B288)=0,"Choose segment",IF(COUNTIF(Segments!$B$9:$B$38,B288)=0,"Unknown segment",IF(COUNTIFS(Segments!$B$9:$B$38,B288,Segments!$C$9:$C$38,"&lt;&gt;")=0,"Name segment",IF(LEN(C288)=0,"Choose element",IF(G288="","Name or correct element",IF(LEN(H288)=0,"Enter element weight",IF(NOT(ISNUMBER(H288)),"Numeric weight needed",IF(LEN(D288)=0,"Enter quantity",IF(NOT(ISNUMBER(D288)),"Numeric quantity needed",IF(D288&lt;0,"Quantity below zero","Ready")))))))))))</f>
        <v/>
      </c>
    </row>
    <row r="289" spans="1:10" ht="40" customHeight="1">
      <c r="A289" s="1"/>
      <c r="B289" s="4"/>
      <c r="C289" s="4"/>
      <c r="D289" s="15"/>
      <c r="E289" s="10"/>
      <c r="F289" s="10"/>
      <c r="G289" s="11" t="str">
        <f>IF(LEN(C289)=0,"",IF(COUNTIFS(Elements!$B$9:$B$28,C289,Elements!$C$9:$C$28,"&lt;&gt;")=0,"",INDEX(Elements!$C$9:$C$28,MATCH(C289,Elements!$B$9:$B$28,0))))</f>
        <v/>
      </c>
      <c r="H289" s="8" t="str">
        <f>IF(LEN(C289)=0,"",IF(COUNTIFS(Elements!$B$9:$B$28,C289,Elements!$D$9:$D$28,"&lt;&gt;")=0,"",INDEX(Elements!$D$9:$D$28,MATCH(C289,Elements!$B$9:$B$28,0))))</f>
        <v/>
      </c>
      <c r="I289" s="8" t="str">
        <f t="shared" si="4"/>
        <v/>
      </c>
      <c r="J289" s="7" t="str">
        <f>IF(COUNTA(B289:F289)=0,"",IF(LEN(B289)=0,"Choose segment",IF(COUNTIF(Segments!$B$9:$B$38,B289)=0,"Unknown segment",IF(COUNTIFS(Segments!$B$9:$B$38,B289,Segments!$C$9:$C$38,"&lt;&gt;")=0,"Name segment",IF(LEN(C289)=0,"Choose element",IF(G289="","Name or correct element",IF(LEN(H289)=0,"Enter element weight",IF(NOT(ISNUMBER(H289)),"Numeric weight needed",IF(LEN(D289)=0,"Enter quantity",IF(NOT(ISNUMBER(D289)),"Numeric quantity needed",IF(D289&lt;0,"Quantity below zero","Ready")))))))))))</f>
        <v/>
      </c>
    </row>
    <row r="290" spans="1:10" ht="40" customHeight="1">
      <c r="A290" s="1"/>
      <c r="B290" s="4"/>
      <c r="C290" s="4"/>
      <c r="D290" s="15"/>
      <c r="E290" s="10"/>
      <c r="F290" s="10"/>
      <c r="G290" s="11" t="str">
        <f>IF(LEN(C290)=0,"",IF(COUNTIFS(Elements!$B$9:$B$28,C290,Elements!$C$9:$C$28,"&lt;&gt;")=0,"",INDEX(Elements!$C$9:$C$28,MATCH(C290,Elements!$B$9:$B$28,0))))</f>
        <v/>
      </c>
      <c r="H290" s="8" t="str">
        <f>IF(LEN(C290)=0,"",IF(COUNTIFS(Elements!$B$9:$B$28,C290,Elements!$D$9:$D$28,"&lt;&gt;")=0,"",INDEX(Elements!$D$9:$D$28,MATCH(C290,Elements!$B$9:$B$28,0))))</f>
        <v/>
      </c>
      <c r="I290" s="8" t="str">
        <f t="shared" si="4"/>
        <v/>
      </c>
      <c r="J290" s="7" t="str">
        <f>IF(COUNTA(B290:F290)=0,"",IF(LEN(B290)=0,"Choose segment",IF(COUNTIF(Segments!$B$9:$B$38,B290)=0,"Unknown segment",IF(COUNTIFS(Segments!$B$9:$B$38,B290,Segments!$C$9:$C$38,"&lt;&gt;")=0,"Name segment",IF(LEN(C290)=0,"Choose element",IF(G290="","Name or correct element",IF(LEN(H290)=0,"Enter element weight",IF(NOT(ISNUMBER(H290)),"Numeric weight needed",IF(LEN(D290)=0,"Enter quantity",IF(NOT(ISNUMBER(D290)),"Numeric quantity needed",IF(D290&lt;0,"Quantity below zero","Ready")))))))))))</f>
        <v/>
      </c>
    </row>
    <row r="291" spans="1:10" ht="40" customHeight="1">
      <c r="A291" s="1"/>
      <c r="B291" s="4"/>
      <c r="C291" s="4"/>
      <c r="D291" s="15"/>
      <c r="E291" s="10"/>
      <c r="F291" s="10"/>
      <c r="G291" s="11" t="str">
        <f>IF(LEN(C291)=0,"",IF(COUNTIFS(Elements!$B$9:$B$28,C291,Elements!$C$9:$C$28,"&lt;&gt;")=0,"",INDEX(Elements!$C$9:$C$28,MATCH(C291,Elements!$B$9:$B$28,0))))</f>
        <v/>
      </c>
      <c r="H291" s="8" t="str">
        <f>IF(LEN(C291)=0,"",IF(COUNTIFS(Elements!$B$9:$B$28,C291,Elements!$D$9:$D$28,"&lt;&gt;")=0,"",INDEX(Elements!$D$9:$D$28,MATCH(C291,Elements!$B$9:$B$28,0))))</f>
        <v/>
      </c>
      <c r="I291" s="8" t="str">
        <f t="shared" si="4"/>
        <v/>
      </c>
      <c r="J291" s="7" t="str">
        <f>IF(COUNTA(B291:F291)=0,"",IF(LEN(B291)=0,"Choose segment",IF(COUNTIF(Segments!$B$9:$B$38,B291)=0,"Unknown segment",IF(COUNTIFS(Segments!$B$9:$B$38,B291,Segments!$C$9:$C$38,"&lt;&gt;")=0,"Name segment",IF(LEN(C291)=0,"Choose element",IF(G291="","Name or correct element",IF(LEN(H291)=0,"Enter element weight",IF(NOT(ISNUMBER(H291)),"Numeric weight needed",IF(LEN(D291)=0,"Enter quantity",IF(NOT(ISNUMBER(D291)),"Numeric quantity needed",IF(D291&lt;0,"Quantity below zero","Ready")))))))))))</f>
        <v/>
      </c>
    </row>
    <row r="292" spans="1:10" ht="40" customHeight="1">
      <c r="A292" s="1"/>
      <c r="B292" s="4"/>
      <c r="C292" s="4"/>
      <c r="D292" s="15"/>
      <c r="E292" s="10"/>
      <c r="F292" s="10"/>
      <c r="G292" s="11" t="str">
        <f>IF(LEN(C292)=0,"",IF(COUNTIFS(Elements!$B$9:$B$28,C292,Elements!$C$9:$C$28,"&lt;&gt;")=0,"",INDEX(Elements!$C$9:$C$28,MATCH(C292,Elements!$B$9:$B$28,0))))</f>
        <v/>
      </c>
      <c r="H292" s="8" t="str">
        <f>IF(LEN(C292)=0,"",IF(COUNTIFS(Elements!$B$9:$B$28,C292,Elements!$D$9:$D$28,"&lt;&gt;")=0,"",INDEX(Elements!$D$9:$D$28,MATCH(C292,Elements!$B$9:$B$28,0))))</f>
        <v/>
      </c>
      <c r="I292" s="8" t="str">
        <f t="shared" si="4"/>
        <v/>
      </c>
      <c r="J292" s="7" t="str">
        <f>IF(COUNTA(B292:F292)=0,"",IF(LEN(B292)=0,"Choose segment",IF(COUNTIF(Segments!$B$9:$B$38,B292)=0,"Unknown segment",IF(COUNTIFS(Segments!$B$9:$B$38,B292,Segments!$C$9:$C$38,"&lt;&gt;")=0,"Name segment",IF(LEN(C292)=0,"Choose element",IF(G292="","Name or correct element",IF(LEN(H292)=0,"Enter element weight",IF(NOT(ISNUMBER(H292)),"Numeric weight needed",IF(LEN(D292)=0,"Enter quantity",IF(NOT(ISNUMBER(D292)),"Numeric quantity needed",IF(D292&lt;0,"Quantity below zero","Ready")))))))))))</f>
        <v/>
      </c>
    </row>
    <row r="293" spans="1:10" ht="40" customHeight="1">
      <c r="A293" s="1"/>
      <c r="B293" s="4"/>
      <c r="C293" s="4"/>
      <c r="D293" s="15"/>
      <c r="E293" s="10"/>
      <c r="F293" s="10"/>
      <c r="G293" s="11" t="str">
        <f>IF(LEN(C293)=0,"",IF(COUNTIFS(Elements!$B$9:$B$28,C293,Elements!$C$9:$C$28,"&lt;&gt;")=0,"",INDEX(Elements!$C$9:$C$28,MATCH(C293,Elements!$B$9:$B$28,0))))</f>
        <v/>
      </c>
      <c r="H293" s="8" t="str">
        <f>IF(LEN(C293)=0,"",IF(COUNTIFS(Elements!$B$9:$B$28,C293,Elements!$D$9:$D$28,"&lt;&gt;")=0,"",INDEX(Elements!$D$9:$D$28,MATCH(C293,Elements!$B$9:$B$28,0))))</f>
        <v/>
      </c>
      <c r="I293" s="8" t="str">
        <f t="shared" si="4"/>
        <v/>
      </c>
      <c r="J293" s="7" t="str">
        <f>IF(COUNTA(B293:F293)=0,"",IF(LEN(B293)=0,"Choose segment",IF(COUNTIF(Segments!$B$9:$B$38,B293)=0,"Unknown segment",IF(COUNTIFS(Segments!$B$9:$B$38,B293,Segments!$C$9:$C$38,"&lt;&gt;")=0,"Name segment",IF(LEN(C293)=0,"Choose element",IF(G293="","Name or correct element",IF(LEN(H293)=0,"Enter element weight",IF(NOT(ISNUMBER(H293)),"Numeric weight needed",IF(LEN(D293)=0,"Enter quantity",IF(NOT(ISNUMBER(D293)),"Numeric quantity needed",IF(D293&lt;0,"Quantity below zero","Ready")))))))))))</f>
        <v/>
      </c>
    </row>
    <row r="294" spans="1:10" ht="40" customHeight="1">
      <c r="A294" s="1"/>
      <c r="B294" s="4"/>
      <c r="C294" s="4"/>
      <c r="D294" s="15"/>
      <c r="E294" s="10"/>
      <c r="F294" s="10"/>
      <c r="G294" s="11" t="str">
        <f>IF(LEN(C294)=0,"",IF(COUNTIFS(Elements!$B$9:$B$28,C294,Elements!$C$9:$C$28,"&lt;&gt;")=0,"",INDEX(Elements!$C$9:$C$28,MATCH(C294,Elements!$B$9:$B$28,0))))</f>
        <v/>
      </c>
      <c r="H294" s="8" t="str">
        <f>IF(LEN(C294)=0,"",IF(COUNTIFS(Elements!$B$9:$B$28,C294,Elements!$D$9:$D$28,"&lt;&gt;")=0,"",INDEX(Elements!$D$9:$D$28,MATCH(C294,Elements!$B$9:$B$28,0))))</f>
        <v/>
      </c>
      <c r="I294" s="8" t="str">
        <f t="shared" si="4"/>
        <v/>
      </c>
      <c r="J294" s="7" t="str">
        <f>IF(COUNTA(B294:F294)=0,"",IF(LEN(B294)=0,"Choose segment",IF(COUNTIF(Segments!$B$9:$B$38,B294)=0,"Unknown segment",IF(COUNTIFS(Segments!$B$9:$B$38,B294,Segments!$C$9:$C$38,"&lt;&gt;")=0,"Name segment",IF(LEN(C294)=0,"Choose element",IF(G294="","Name or correct element",IF(LEN(H294)=0,"Enter element weight",IF(NOT(ISNUMBER(H294)),"Numeric weight needed",IF(LEN(D294)=0,"Enter quantity",IF(NOT(ISNUMBER(D294)),"Numeric quantity needed",IF(D294&lt;0,"Quantity below zero","Ready")))))))))))</f>
        <v/>
      </c>
    </row>
    <row r="295" spans="1:10" ht="40" customHeight="1">
      <c r="A295" s="1"/>
      <c r="B295" s="4"/>
      <c r="C295" s="4"/>
      <c r="D295" s="15"/>
      <c r="E295" s="10"/>
      <c r="F295" s="10"/>
      <c r="G295" s="11" t="str">
        <f>IF(LEN(C295)=0,"",IF(COUNTIFS(Elements!$B$9:$B$28,C295,Elements!$C$9:$C$28,"&lt;&gt;")=0,"",INDEX(Elements!$C$9:$C$28,MATCH(C295,Elements!$B$9:$B$28,0))))</f>
        <v/>
      </c>
      <c r="H295" s="8" t="str">
        <f>IF(LEN(C295)=0,"",IF(COUNTIFS(Elements!$B$9:$B$28,C295,Elements!$D$9:$D$28,"&lt;&gt;")=0,"",INDEX(Elements!$D$9:$D$28,MATCH(C295,Elements!$B$9:$B$28,0))))</f>
        <v/>
      </c>
      <c r="I295" s="8" t="str">
        <f t="shared" si="4"/>
        <v/>
      </c>
      <c r="J295" s="7" t="str">
        <f>IF(COUNTA(B295:F295)=0,"",IF(LEN(B295)=0,"Choose segment",IF(COUNTIF(Segments!$B$9:$B$38,B295)=0,"Unknown segment",IF(COUNTIFS(Segments!$B$9:$B$38,B295,Segments!$C$9:$C$38,"&lt;&gt;")=0,"Name segment",IF(LEN(C295)=0,"Choose element",IF(G295="","Name or correct element",IF(LEN(H295)=0,"Enter element weight",IF(NOT(ISNUMBER(H295)),"Numeric weight needed",IF(LEN(D295)=0,"Enter quantity",IF(NOT(ISNUMBER(D295)),"Numeric quantity needed",IF(D295&lt;0,"Quantity below zero","Ready")))))))))))</f>
        <v/>
      </c>
    </row>
    <row r="296" spans="1:10" ht="40" customHeight="1">
      <c r="A296" s="1"/>
      <c r="B296" s="4"/>
      <c r="C296" s="4"/>
      <c r="D296" s="15"/>
      <c r="E296" s="10"/>
      <c r="F296" s="10"/>
      <c r="G296" s="11" t="str">
        <f>IF(LEN(C296)=0,"",IF(COUNTIFS(Elements!$B$9:$B$28,C296,Elements!$C$9:$C$28,"&lt;&gt;")=0,"",INDEX(Elements!$C$9:$C$28,MATCH(C296,Elements!$B$9:$B$28,0))))</f>
        <v/>
      </c>
      <c r="H296" s="8" t="str">
        <f>IF(LEN(C296)=0,"",IF(COUNTIFS(Elements!$B$9:$B$28,C296,Elements!$D$9:$D$28,"&lt;&gt;")=0,"",INDEX(Elements!$D$9:$D$28,MATCH(C296,Elements!$B$9:$B$28,0))))</f>
        <v/>
      </c>
      <c r="I296" s="8" t="str">
        <f t="shared" si="4"/>
        <v/>
      </c>
      <c r="J296" s="7" t="str">
        <f>IF(COUNTA(B296:F296)=0,"",IF(LEN(B296)=0,"Choose segment",IF(COUNTIF(Segments!$B$9:$B$38,B296)=0,"Unknown segment",IF(COUNTIFS(Segments!$B$9:$B$38,B296,Segments!$C$9:$C$38,"&lt;&gt;")=0,"Name segment",IF(LEN(C296)=0,"Choose element",IF(G296="","Name or correct element",IF(LEN(H296)=0,"Enter element weight",IF(NOT(ISNUMBER(H296)),"Numeric weight needed",IF(LEN(D296)=0,"Enter quantity",IF(NOT(ISNUMBER(D296)),"Numeric quantity needed",IF(D296&lt;0,"Quantity below zero","Ready")))))))))))</f>
        <v/>
      </c>
    </row>
    <row r="297" spans="1:10" ht="40" customHeight="1">
      <c r="A297" s="1"/>
      <c r="B297" s="4"/>
      <c r="C297" s="4"/>
      <c r="D297" s="15"/>
      <c r="E297" s="10"/>
      <c r="F297" s="10"/>
      <c r="G297" s="11" t="str">
        <f>IF(LEN(C297)=0,"",IF(COUNTIFS(Elements!$B$9:$B$28,C297,Elements!$C$9:$C$28,"&lt;&gt;")=0,"",INDEX(Elements!$C$9:$C$28,MATCH(C297,Elements!$B$9:$B$28,0))))</f>
        <v/>
      </c>
      <c r="H297" s="8" t="str">
        <f>IF(LEN(C297)=0,"",IF(COUNTIFS(Elements!$B$9:$B$28,C297,Elements!$D$9:$D$28,"&lt;&gt;")=0,"",INDEX(Elements!$D$9:$D$28,MATCH(C297,Elements!$B$9:$B$28,0))))</f>
        <v/>
      </c>
      <c r="I297" s="8" t="str">
        <f t="shared" si="4"/>
        <v/>
      </c>
      <c r="J297" s="7" t="str">
        <f>IF(COUNTA(B297:F297)=0,"",IF(LEN(B297)=0,"Choose segment",IF(COUNTIF(Segments!$B$9:$B$38,B297)=0,"Unknown segment",IF(COUNTIFS(Segments!$B$9:$B$38,B297,Segments!$C$9:$C$38,"&lt;&gt;")=0,"Name segment",IF(LEN(C297)=0,"Choose element",IF(G297="","Name or correct element",IF(LEN(H297)=0,"Enter element weight",IF(NOT(ISNUMBER(H297)),"Numeric weight needed",IF(LEN(D297)=0,"Enter quantity",IF(NOT(ISNUMBER(D297)),"Numeric quantity needed",IF(D297&lt;0,"Quantity below zero","Ready")))))))))))</f>
        <v/>
      </c>
    </row>
    <row r="298" spans="1:10" ht="40" customHeight="1">
      <c r="A298" s="1"/>
      <c r="B298" s="4"/>
      <c r="C298" s="4"/>
      <c r="D298" s="15"/>
      <c r="E298" s="10"/>
      <c r="F298" s="10"/>
      <c r="G298" s="11" t="str">
        <f>IF(LEN(C298)=0,"",IF(COUNTIFS(Elements!$B$9:$B$28,C298,Elements!$C$9:$C$28,"&lt;&gt;")=0,"",INDEX(Elements!$C$9:$C$28,MATCH(C298,Elements!$B$9:$B$28,0))))</f>
        <v/>
      </c>
      <c r="H298" s="8" t="str">
        <f>IF(LEN(C298)=0,"",IF(COUNTIFS(Elements!$B$9:$B$28,C298,Elements!$D$9:$D$28,"&lt;&gt;")=0,"",INDEX(Elements!$D$9:$D$28,MATCH(C298,Elements!$B$9:$B$28,0))))</f>
        <v/>
      </c>
      <c r="I298" s="8" t="str">
        <f t="shared" si="4"/>
        <v/>
      </c>
      <c r="J298" s="7" t="str">
        <f>IF(COUNTA(B298:F298)=0,"",IF(LEN(B298)=0,"Choose segment",IF(COUNTIF(Segments!$B$9:$B$38,B298)=0,"Unknown segment",IF(COUNTIFS(Segments!$B$9:$B$38,B298,Segments!$C$9:$C$38,"&lt;&gt;")=0,"Name segment",IF(LEN(C298)=0,"Choose element",IF(G298="","Name or correct element",IF(LEN(H298)=0,"Enter element weight",IF(NOT(ISNUMBER(H298)),"Numeric weight needed",IF(LEN(D298)=0,"Enter quantity",IF(NOT(ISNUMBER(D298)),"Numeric quantity needed",IF(D298&lt;0,"Quantity below zero","Ready")))))))))))</f>
        <v/>
      </c>
    </row>
    <row r="299" spans="1:10" ht="40" customHeight="1">
      <c r="A299" s="1"/>
      <c r="B299" s="4"/>
      <c r="C299" s="4"/>
      <c r="D299" s="15"/>
      <c r="E299" s="10"/>
      <c r="F299" s="10"/>
      <c r="G299" s="11" t="str">
        <f>IF(LEN(C299)=0,"",IF(COUNTIFS(Elements!$B$9:$B$28,C299,Elements!$C$9:$C$28,"&lt;&gt;")=0,"",INDEX(Elements!$C$9:$C$28,MATCH(C299,Elements!$B$9:$B$28,0))))</f>
        <v/>
      </c>
      <c r="H299" s="8" t="str">
        <f>IF(LEN(C299)=0,"",IF(COUNTIFS(Elements!$B$9:$B$28,C299,Elements!$D$9:$D$28,"&lt;&gt;")=0,"",INDEX(Elements!$D$9:$D$28,MATCH(C299,Elements!$B$9:$B$28,0))))</f>
        <v/>
      </c>
      <c r="I299" s="8" t="str">
        <f t="shared" si="4"/>
        <v/>
      </c>
      <c r="J299" s="7" t="str">
        <f>IF(COUNTA(B299:F299)=0,"",IF(LEN(B299)=0,"Choose segment",IF(COUNTIF(Segments!$B$9:$B$38,B299)=0,"Unknown segment",IF(COUNTIFS(Segments!$B$9:$B$38,B299,Segments!$C$9:$C$38,"&lt;&gt;")=0,"Name segment",IF(LEN(C299)=0,"Choose element",IF(G299="","Name or correct element",IF(LEN(H299)=0,"Enter element weight",IF(NOT(ISNUMBER(H299)),"Numeric weight needed",IF(LEN(D299)=0,"Enter quantity",IF(NOT(ISNUMBER(D299)),"Numeric quantity needed",IF(D299&lt;0,"Quantity below zero","Ready")))))))))))</f>
        <v/>
      </c>
    </row>
    <row r="300" spans="1:10" ht="40" customHeight="1">
      <c r="A300" s="1"/>
      <c r="B300" s="4"/>
      <c r="C300" s="4"/>
      <c r="D300" s="15"/>
      <c r="E300" s="10"/>
      <c r="F300" s="10"/>
      <c r="G300" s="11" t="str">
        <f>IF(LEN(C300)=0,"",IF(COUNTIFS(Elements!$B$9:$B$28,C300,Elements!$C$9:$C$28,"&lt;&gt;")=0,"",INDEX(Elements!$C$9:$C$28,MATCH(C300,Elements!$B$9:$B$28,0))))</f>
        <v/>
      </c>
      <c r="H300" s="8" t="str">
        <f>IF(LEN(C300)=0,"",IF(COUNTIFS(Elements!$B$9:$B$28,C300,Elements!$D$9:$D$28,"&lt;&gt;")=0,"",INDEX(Elements!$D$9:$D$28,MATCH(C300,Elements!$B$9:$B$28,0))))</f>
        <v/>
      </c>
      <c r="I300" s="8" t="str">
        <f t="shared" si="4"/>
        <v/>
      </c>
      <c r="J300" s="7" t="str">
        <f>IF(COUNTA(B300:F300)=0,"",IF(LEN(B300)=0,"Choose segment",IF(COUNTIF(Segments!$B$9:$B$38,B300)=0,"Unknown segment",IF(COUNTIFS(Segments!$B$9:$B$38,B300,Segments!$C$9:$C$38,"&lt;&gt;")=0,"Name segment",IF(LEN(C300)=0,"Choose element",IF(G300="","Name or correct element",IF(LEN(H300)=0,"Enter element weight",IF(NOT(ISNUMBER(H300)),"Numeric weight needed",IF(LEN(D300)=0,"Enter quantity",IF(NOT(ISNUMBER(D300)),"Numeric quantity needed",IF(D300&lt;0,"Quantity below zero","Ready")))))))))))</f>
        <v/>
      </c>
    </row>
    <row r="301" spans="1:10" ht="40" customHeight="1">
      <c r="A301" s="1"/>
      <c r="B301" s="4"/>
      <c r="C301" s="4"/>
      <c r="D301" s="15"/>
      <c r="E301" s="10"/>
      <c r="F301" s="10"/>
      <c r="G301" s="11" t="str">
        <f>IF(LEN(C301)=0,"",IF(COUNTIFS(Elements!$B$9:$B$28,C301,Elements!$C$9:$C$28,"&lt;&gt;")=0,"",INDEX(Elements!$C$9:$C$28,MATCH(C301,Elements!$B$9:$B$28,0))))</f>
        <v/>
      </c>
      <c r="H301" s="8" t="str">
        <f>IF(LEN(C301)=0,"",IF(COUNTIFS(Elements!$B$9:$B$28,C301,Elements!$D$9:$D$28,"&lt;&gt;")=0,"",INDEX(Elements!$D$9:$D$28,MATCH(C301,Elements!$B$9:$B$28,0))))</f>
        <v/>
      </c>
      <c r="I301" s="8" t="str">
        <f t="shared" si="4"/>
        <v/>
      </c>
      <c r="J301" s="7" t="str">
        <f>IF(COUNTA(B301:F301)=0,"",IF(LEN(B301)=0,"Choose segment",IF(COUNTIF(Segments!$B$9:$B$38,B301)=0,"Unknown segment",IF(COUNTIFS(Segments!$B$9:$B$38,B301,Segments!$C$9:$C$38,"&lt;&gt;")=0,"Name segment",IF(LEN(C301)=0,"Choose element",IF(G301="","Name or correct element",IF(LEN(H301)=0,"Enter element weight",IF(NOT(ISNUMBER(H301)),"Numeric weight needed",IF(LEN(D301)=0,"Enter quantity",IF(NOT(ISNUMBER(D301)),"Numeric quantity needed",IF(D301&lt;0,"Quantity below zero","Ready")))))))))))</f>
        <v/>
      </c>
    </row>
    <row r="302" spans="1:10" ht="40" customHeight="1">
      <c r="A302" s="1"/>
      <c r="B302" s="4"/>
      <c r="C302" s="4"/>
      <c r="D302" s="15"/>
      <c r="E302" s="10"/>
      <c r="F302" s="10"/>
      <c r="G302" s="11" t="str">
        <f>IF(LEN(C302)=0,"",IF(COUNTIFS(Elements!$B$9:$B$28,C302,Elements!$C$9:$C$28,"&lt;&gt;")=0,"",INDEX(Elements!$C$9:$C$28,MATCH(C302,Elements!$B$9:$B$28,0))))</f>
        <v/>
      </c>
      <c r="H302" s="8" t="str">
        <f>IF(LEN(C302)=0,"",IF(COUNTIFS(Elements!$B$9:$B$28,C302,Elements!$D$9:$D$28,"&lt;&gt;")=0,"",INDEX(Elements!$D$9:$D$28,MATCH(C302,Elements!$B$9:$B$28,0))))</f>
        <v/>
      </c>
      <c r="I302" s="8" t="str">
        <f t="shared" si="4"/>
        <v/>
      </c>
      <c r="J302" s="7" t="str">
        <f>IF(COUNTA(B302:F302)=0,"",IF(LEN(B302)=0,"Choose segment",IF(COUNTIF(Segments!$B$9:$B$38,B302)=0,"Unknown segment",IF(COUNTIFS(Segments!$B$9:$B$38,B302,Segments!$C$9:$C$38,"&lt;&gt;")=0,"Name segment",IF(LEN(C302)=0,"Choose element",IF(G302="","Name or correct element",IF(LEN(H302)=0,"Enter element weight",IF(NOT(ISNUMBER(H302)),"Numeric weight needed",IF(LEN(D302)=0,"Enter quantity",IF(NOT(ISNUMBER(D302)),"Numeric quantity needed",IF(D302&lt;0,"Quantity below zero","Ready")))))))))))</f>
        <v/>
      </c>
    </row>
    <row r="303" spans="1:10" ht="40" customHeight="1">
      <c r="A303" s="1"/>
      <c r="B303" s="4"/>
      <c r="C303" s="4"/>
      <c r="D303" s="15"/>
      <c r="E303" s="10"/>
      <c r="F303" s="10"/>
      <c r="G303" s="11" t="str">
        <f>IF(LEN(C303)=0,"",IF(COUNTIFS(Elements!$B$9:$B$28,C303,Elements!$C$9:$C$28,"&lt;&gt;")=0,"",INDEX(Elements!$C$9:$C$28,MATCH(C303,Elements!$B$9:$B$28,0))))</f>
        <v/>
      </c>
      <c r="H303" s="8" t="str">
        <f>IF(LEN(C303)=0,"",IF(COUNTIFS(Elements!$B$9:$B$28,C303,Elements!$D$9:$D$28,"&lt;&gt;")=0,"",INDEX(Elements!$D$9:$D$28,MATCH(C303,Elements!$B$9:$B$28,0))))</f>
        <v/>
      </c>
      <c r="I303" s="8" t="str">
        <f t="shared" si="4"/>
        <v/>
      </c>
      <c r="J303" s="7" t="str">
        <f>IF(COUNTA(B303:F303)=0,"",IF(LEN(B303)=0,"Choose segment",IF(COUNTIF(Segments!$B$9:$B$38,B303)=0,"Unknown segment",IF(COUNTIFS(Segments!$B$9:$B$38,B303,Segments!$C$9:$C$38,"&lt;&gt;")=0,"Name segment",IF(LEN(C303)=0,"Choose element",IF(G303="","Name or correct element",IF(LEN(H303)=0,"Enter element weight",IF(NOT(ISNUMBER(H303)),"Numeric weight needed",IF(LEN(D303)=0,"Enter quantity",IF(NOT(ISNUMBER(D303)),"Numeric quantity needed",IF(D303&lt;0,"Quantity below zero","Ready")))))))))))</f>
        <v/>
      </c>
    </row>
    <row r="304" spans="1:10" ht="40" customHeight="1">
      <c r="A304" s="1"/>
      <c r="B304" s="4"/>
      <c r="C304" s="4"/>
      <c r="D304" s="15"/>
      <c r="E304" s="10"/>
      <c r="F304" s="10"/>
      <c r="G304" s="11" t="str">
        <f>IF(LEN(C304)=0,"",IF(COUNTIFS(Elements!$B$9:$B$28,C304,Elements!$C$9:$C$28,"&lt;&gt;")=0,"",INDEX(Elements!$C$9:$C$28,MATCH(C304,Elements!$B$9:$B$28,0))))</f>
        <v/>
      </c>
      <c r="H304" s="8" t="str">
        <f>IF(LEN(C304)=0,"",IF(COUNTIFS(Elements!$B$9:$B$28,C304,Elements!$D$9:$D$28,"&lt;&gt;")=0,"",INDEX(Elements!$D$9:$D$28,MATCH(C304,Elements!$B$9:$B$28,0))))</f>
        <v/>
      </c>
      <c r="I304" s="8" t="str">
        <f t="shared" si="4"/>
        <v/>
      </c>
      <c r="J304" s="7" t="str">
        <f>IF(COUNTA(B304:F304)=0,"",IF(LEN(B304)=0,"Choose segment",IF(COUNTIF(Segments!$B$9:$B$38,B304)=0,"Unknown segment",IF(COUNTIFS(Segments!$B$9:$B$38,B304,Segments!$C$9:$C$38,"&lt;&gt;")=0,"Name segment",IF(LEN(C304)=0,"Choose element",IF(G304="","Name or correct element",IF(LEN(H304)=0,"Enter element weight",IF(NOT(ISNUMBER(H304)),"Numeric weight needed",IF(LEN(D304)=0,"Enter quantity",IF(NOT(ISNUMBER(D304)),"Numeric quantity needed",IF(D304&lt;0,"Quantity below zero","Ready")))))))))))</f>
        <v/>
      </c>
    </row>
    <row r="305" spans="1:10" ht="40" customHeight="1">
      <c r="A305" s="1"/>
      <c r="B305" s="4"/>
      <c r="C305" s="4"/>
      <c r="D305" s="15"/>
      <c r="E305" s="10"/>
      <c r="F305" s="10"/>
      <c r="G305" s="11" t="str">
        <f>IF(LEN(C305)=0,"",IF(COUNTIFS(Elements!$B$9:$B$28,C305,Elements!$C$9:$C$28,"&lt;&gt;")=0,"",INDEX(Elements!$C$9:$C$28,MATCH(C305,Elements!$B$9:$B$28,0))))</f>
        <v/>
      </c>
      <c r="H305" s="8" t="str">
        <f>IF(LEN(C305)=0,"",IF(COUNTIFS(Elements!$B$9:$B$28,C305,Elements!$D$9:$D$28,"&lt;&gt;")=0,"",INDEX(Elements!$D$9:$D$28,MATCH(C305,Elements!$B$9:$B$28,0))))</f>
        <v/>
      </c>
      <c r="I305" s="8" t="str">
        <f t="shared" si="4"/>
        <v/>
      </c>
      <c r="J305" s="7" t="str">
        <f>IF(COUNTA(B305:F305)=0,"",IF(LEN(B305)=0,"Choose segment",IF(COUNTIF(Segments!$B$9:$B$38,B305)=0,"Unknown segment",IF(COUNTIFS(Segments!$B$9:$B$38,B305,Segments!$C$9:$C$38,"&lt;&gt;")=0,"Name segment",IF(LEN(C305)=0,"Choose element",IF(G305="","Name or correct element",IF(LEN(H305)=0,"Enter element weight",IF(NOT(ISNUMBER(H305)),"Numeric weight needed",IF(LEN(D305)=0,"Enter quantity",IF(NOT(ISNUMBER(D305)),"Numeric quantity needed",IF(D305&lt;0,"Quantity below zero","Ready")))))))))))</f>
        <v/>
      </c>
    </row>
    <row r="306" spans="1:10" ht="40" customHeight="1">
      <c r="A306" s="1"/>
      <c r="B306" s="4"/>
      <c r="C306" s="4"/>
      <c r="D306" s="15"/>
      <c r="E306" s="10"/>
      <c r="F306" s="10"/>
      <c r="G306" s="11" t="str">
        <f>IF(LEN(C306)=0,"",IF(COUNTIFS(Elements!$B$9:$B$28,C306,Elements!$C$9:$C$28,"&lt;&gt;")=0,"",INDEX(Elements!$C$9:$C$28,MATCH(C306,Elements!$B$9:$B$28,0))))</f>
        <v/>
      </c>
      <c r="H306" s="8" t="str">
        <f>IF(LEN(C306)=0,"",IF(COUNTIFS(Elements!$B$9:$B$28,C306,Elements!$D$9:$D$28,"&lt;&gt;")=0,"",INDEX(Elements!$D$9:$D$28,MATCH(C306,Elements!$B$9:$B$28,0))))</f>
        <v/>
      </c>
      <c r="I306" s="8" t="str">
        <f t="shared" si="4"/>
        <v/>
      </c>
      <c r="J306" s="7" t="str">
        <f>IF(COUNTA(B306:F306)=0,"",IF(LEN(B306)=0,"Choose segment",IF(COUNTIF(Segments!$B$9:$B$38,B306)=0,"Unknown segment",IF(COUNTIFS(Segments!$B$9:$B$38,B306,Segments!$C$9:$C$38,"&lt;&gt;")=0,"Name segment",IF(LEN(C306)=0,"Choose element",IF(G306="","Name or correct element",IF(LEN(H306)=0,"Enter element weight",IF(NOT(ISNUMBER(H306)),"Numeric weight needed",IF(LEN(D306)=0,"Enter quantity",IF(NOT(ISNUMBER(D306)),"Numeric quantity needed",IF(D306&lt;0,"Quantity below zero","Ready")))))))))))</f>
        <v/>
      </c>
    </row>
    <row r="307" spans="1:10" ht="40" customHeight="1">
      <c r="A307" s="1"/>
      <c r="B307" s="4"/>
      <c r="C307" s="4"/>
      <c r="D307" s="15"/>
      <c r="E307" s="10"/>
      <c r="F307" s="10"/>
      <c r="G307" s="11" t="str">
        <f>IF(LEN(C307)=0,"",IF(COUNTIFS(Elements!$B$9:$B$28,C307,Elements!$C$9:$C$28,"&lt;&gt;")=0,"",INDEX(Elements!$C$9:$C$28,MATCH(C307,Elements!$B$9:$B$28,0))))</f>
        <v/>
      </c>
      <c r="H307" s="8" t="str">
        <f>IF(LEN(C307)=0,"",IF(COUNTIFS(Elements!$B$9:$B$28,C307,Elements!$D$9:$D$28,"&lt;&gt;")=0,"",INDEX(Elements!$D$9:$D$28,MATCH(C307,Elements!$B$9:$B$28,0))))</f>
        <v/>
      </c>
      <c r="I307" s="8" t="str">
        <f t="shared" si="4"/>
        <v/>
      </c>
      <c r="J307" s="7" t="str">
        <f>IF(COUNTA(B307:F307)=0,"",IF(LEN(B307)=0,"Choose segment",IF(COUNTIF(Segments!$B$9:$B$38,B307)=0,"Unknown segment",IF(COUNTIFS(Segments!$B$9:$B$38,B307,Segments!$C$9:$C$38,"&lt;&gt;")=0,"Name segment",IF(LEN(C307)=0,"Choose element",IF(G307="","Name or correct element",IF(LEN(H307)=0,"Enter element weight",IF(NOT(ISNUMBER(H307)),"Numeric weight needed",IF(LEN(D307)=0,"Enter quantity",IF(NOT(ISNUMBER(D307)),"Numeric quantity needed",IF(D307&lt;0,"Quantity below zero","Ready")))))))))))</f>
        <v/>
      </c>
    </row>
    <row r="308" spans="1:10" ht="40" customHeight="1">
      <c r="A308" s="1"/>
      <c r="B308" s="4"/>
      <c r="C308" s="4"/>
      <c r="D308" s="15"/>
      <c r="E308" s="10"/>
      <c r="F308" s="10"/>
      <c r="G308" s="11" t="str">
        <f>IF(LEN(C308)=0,"",IF(COUNTIFS(Elements!$B$9:$B$28,C308,Elements!$C$9:$C$28,"&lt;&gt;")=0,"",INDEX(Elements!$C$9:$C$28,MATCH(C308,Elements!$B$9:$B$28,0))))</f>
        <v/>
      </c>
      <c r="H308" s="8" t="str">
        <f>IF(LEN(C308)=0,"",IF(COUNTIFS(Elements!$B$9:$B$28,C308,Elements!$D$9:$D$28,"&lt;&gt;")=0,"",INDEX(Elements!$D$9:$D$28,MATCH(C308,Elements!$B$9:$B$28,0))))</f>
        <v/>
      </c>
      <c r="I308" s="8" t="str">
        <f t="shared" si="4"/>
        <v/>
      </c>
      <c r="J308" s="7" t="str">
        <f>IF(COUNTA(B308:F308)=0,"",IF(LEN(B308)=0,"Choose segment",IF(COUNTIF(Segments!$B$9:$B$38,B308)=0,"Unknown segment",IF(COUNTIFS(Segments!$B$9:$B$38,B308,Segments!$C$9:$C$38,"&lt;&gt;")=0,"Name segment",IF(LEN(C308)=0,"Choose element",IF(G308="","Name or correct element",IF(LEN(H308)=0,"Enter element weight",IF(NOT(ISNUMBER(H308)),"Numeric weight needed",IF(LEN(D308)=0,"Enter quantity",IF(NOT(ISNUMBER(D308)),"Numeric quantity needed",IF(D308&lt;0,"Quantity below zero","Ready")))))))))))</f>
        <v/>
      </c>
    </row>
    <row r="309" spans="1:10" ht="23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23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</sheetData>
  <conditionalFormatting sqref="I9:I308">
    <cfRule type="cellIs" dxfId="2" priority="2" operator="greaterThan">
      <formula>0</formula>
    </cfRule>
    <cfRule type="cellIs" dxfId="1" priority="3" operator="lessThan">
      <formula>0</formula>
    </cfRule>
  </conditionalFormatting>
  <conditionalFormatting sqref="J9:J308">
    <cfRule type="expression" dxfId="0" priority="1">
      <formula>AND(J9&lt;&gt;"",J9&lt;&gt;"Ready")</formula>
    </cfRule>
  </conditionalFormatting>
  <dataValidations count="1">
    <dataValidation type="decimal" operator="greaterThanOrEqual" sqref="D9:D308" xr:uid="{00000000-0002-0000-0300-000002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0000000}">
          <x14:formula1>
            <xm:f>Segments!$B$9:$B$38</xm:f>
          </x14:formula1>
          <xm:sqref>B9:B308</xm:sqref>
        </x14:dataValidation>
        <x14:dataValidation type="list" xr:uid="{00000000-0002-0000-0300-000001000000}">
          <x14:formula1>
            <xm:f>Elements!$B$9:$B$28</xm:f>
          </x14:formula1>
          <xm:sqref>C9:C308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Segments</vt:lpstr>
      <vt:lpstr>Elements</vt:lpstr>
      <vt:lpstr>Level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Eulerson Pedro Ferreira Rodrigues</cp:lastModifiedBy>
  <dcterms:modified xsi:type="dcterms:W3CDTF">2026-10-14T10:05:51Z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79a6dc-b591-41d4-904b-64a6a782bdc8_Enabled">
    <vt:lpwstr>true</vt:lpwstr>
  </property>
  <property fmtid="{D5CDD505-2E9C-101B-9397-08002B2CF9AE}" pid="3" name="MSIP_Label_f279a6dc-b591-41d4-904b-64a6a782bdc8_SetDate">
    <vt:lpwstr>2026-10-14T10:01:46Z</vt:lpwstr>
  </property>
  <property fmtid="{D5CDD505-2E9C-101B-9397-08002B2CF9AE}" pid="4" name="MSIP_Label_f279a6dc-b591-41d4-904b-64a6a782bdc8_Method">
    <vt:lpwstr>Standard</vt:lpwstr>
  </property>
  <property fmtid="{D5CDD505-2E9C-101B-9397-08002B2CF9AE}" pid="5" name="MSIP_Label_f279a6dc-b591-41d4-904b-64a6a782bdc8_Name">
    <vt:lpwstr>Utilização interna</vt:lpwstr>
  </property>
  <property fmtid="{D5CDD505-2E9C-101B-9397-08002B2CF9AE}" pid="6" name="MSIP_Label_f279a6dc-b591-41d4-904b-64a6a782bdc8_SiteId">
    <vt:lpwstr>704e7b9d-2c07-4362-9768-3fef55c31b7f</vt:lpwstr>
  </property>
  <property fmtid="{D5CDD505-2E9C-101B-9397-08002B2CF9AE}" pid="7" name="MSIP_Label_f279a6dc-b591-41d4-904b-64a6a782bdc8_ActionId">
    <vt:lpwstr>c075e146-1a32-4bf0-a47e-f793ea3cdb18</vt:lpwstr>
  </property>
  <property fmtid="{D5CDD505-2E9C-101B-9397-08002B2CF9AE}" pid="8" name="MSIP_Label_f279a6dc-b591-41d4-904b-64a6a782bdc8_ContentBits">
    <vt:lpwstr>0</vt:lpwstr>
  </property>
  <property fmtid="{D5CDD505-2E9C-101B-9397-08002B2CF9AE}" pid="9" name="MSIP_Label_f279a6dc-b591-41d4-904b-64a6a782bdc8_Tag">
    <vt:lpwstr>10, 3, 0, 1</vt:lpwstr>
  </property>
</Properties>
</file>